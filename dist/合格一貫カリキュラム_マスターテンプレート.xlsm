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データシート" sheetId="2" state="visible" r:id="rId2"/>
    <sheet xmlns:r="http://schemas.openxmlformats.org/officeDocument/2006/relationships" name="合格一貫カリキュラム" sheetId="3" state="visible" r:id="rId3"/>
    <sheet xmlns:r="http://schemas.openxmlformats.org/officeDocument/2006/relationships" name="配布用カリキュラム" sheetId="4" state="visible" r:id="rId4"/>
    <sheet xmlns:r="http://schemas.openxmlformats.org/officeDocument/2006/relationships" name="模試・自学" sheetId="5" state="visible" r:id="rId5"/>
    <sheet xmlns:r="http://schemas.openxmlformats.org/officeDocument/2006/relationships" name="成績表" sheetId="6" state="visible" r:id="rId6"/>
    <sheet xmlns:r="http://schemas.openxmlformats.org/officeDocument/2006/relationships" name="設定" sheetId="7" state="visible" r:id="rId7"/>
    <sheet xmlns:r="http://schemas.openxmlformats.org/officeDocument/2006/relationships" name="志望校マスタ" sheetId="8" state="visible" r:id="rId8"/>
    <sheet xmlns:r="http://schemas.openxmlformats.org/officeDocument/2006/relationships" name="教材マスタ" sheetId="9" state="visible" r:id="rId9"/>
    <sheet xmlns:r="http://schemas.openxmlformats.org/officeDocument/2006/relationships" name="講座マスタ" sheetId="10" state="visible" r:id="rId10"/>
    <sheet xmlns:r="http://schemas.openxmlformats.org/officeDocument/2006/relationships" name="カリキュラムDB" sheetId="11" state="visible" r:id="rId11"/>
    <sheet xmlns:r="http://schemas.openxmlformats.org/officeDocument/2006/relationships" name="共テDB" sheetId="12" state="visible" r:id="rId12"/>
  </sheets>
  <definedNames>
    <definedName name="kStdTable">'設定'!$A$28:$I$45</definedName>
    <definedName name="系統メモ">'設定'!$A$53:$B$56</definedName>
    <definedName name="年度">'設定'!$B$1</definedName>
    <definedName name="基準日">'設定'!$B$2</definedName>
    <definedName name="期間終了日">'設定'!$B$5:$R$5</definedName>
    <definedName name="偏差値基準">'設定'!$B$8</definedName>
    <definedName name="kName">'データシート'!$B$5</definedName>
    <definedName name="kHighschool">'データシート'!$B$6</definedName>
    <definedName name="kGrade">'データシート'!$B$7</definedName>
    <definedName name="kTantou">'データシート'!$B$8</definedName>
    <definedName name="kSchool1">'データシート'!$B$11</definedName>
    <definedName name="kSchool2">'データシート'!$B$12</definedName>
    <definedName name="kSchool3">'データシート'!$B$13</definedName>
    <definedName name="kBunri">'データシート'!$J$14</definedName>
    <definedName name="kCurrent">'データシート'!$B$15</definedName>
    <definedName name="kAutoApply">'データシート'!$B$17</definedName>
    <definedName name="kKubun">'データシート'!$B$41</definedName>
    <definedName name="kSystem">'データシート'!$B$42</definedName>
    <definedName name="kTarget">'データシート'!$B$43</definedName>
    <definedName name="kLevel">'データシート'!$B$44</definedName>
    <definedName name="kPreLevel">'データシート'!$B$44</definedName>
    <definedName name="kPostLevel">'データシート'!$B$44</definedName>
    <definedName name="kPattern">'データシート'!$B$46</definedName>
    <definedName name="kSchool">'データシート'!$J$46</definedName>
    <definedName name="kItems">'データシート'!$A$22:$A$38</definedName>
    <definedName name="kChecks">'データシート'!$B$22:$C$38</definedName>
    <definedName name="kAutoInputs">'データシート'!$B$11,'データシート'!$B$14,'データシート'!$B$16</definedName>
    <definedName name="志望校リスト">'志望校マスタ'!$A$2:$A$200</definedName>
    <definedName name="志望校区分">'志望校マスタ'!$B$2:$B$200</definedName>
    <definedName name="志望校文系">'志望校マスタ'!$C$2:$C$200</definedName>
    <definedName name="志望校理系">'志望校マスタ'!$D$2:$D$200</definedName>
    <definedName name="志望校文系レベル">'志望校マスタ'!$E$2:$E$200</definedName>
    <definedName name="志望校理系レベル">'志望校マスタ'!$F$2:$F$200</definedName>
    <definedName name="_xlnm.Print_Area" localSheetId="1">'データシート'!$A$1:$D$46</definedName>
    <definedName name="_xlnm.Print_Area" localSheetId="2">'合格一貫カリキュラム'!$A$1:$Z$81</definedName>
    <definedName name="_xlnm.Print_Area" localSheetId="3">'配布用カリキュラム'!$A$1:$S$43</definedName>
    <definedName name="_xlnm.Print_Area" localSheetId="4">'模試・自学'!$A$1:$J$42</definedName>
    <definedName name="_xlnm.Print_Area" localSheetId="5">'成績表'!$A$1:$L$60</definedName>
    <definedName name="_xlnm._FilterDatabase" localSheetId="10" hidden="1">'カリキュラムDB'!$A$1:$V$313</definedName>
  </definedNames>
  <calcPr calcId="191028" fullCalcOnLoad="1"/>
</workbook>
</file>

<file path=xl/styles.xml><?xml version="1.0" encoding="utf-8"?>
<styleSheet xmlns="http://schemas.openxmlformats.org/spreadsheetml/2006/main">
  <numFmts count="3">
    <numFmt numFmtId="164" formatCode="m/d"/>
    <numFmt numFmtId="165" formatCode="0.0"/>
    <numFmt numFmtId="166" formatCode="\+0.0;\-0.0;0.0"/>
  </numFmts>
  <fonts count="94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color theme="1"/>
      <sz val="9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rgb="FF17358F"/>
      <sz val="10"/>
      <scheme val="minor"/>
    </font>
    <font>
      <name val="游ゴシック"/>
      <charset val="128"/>
      <family val="3"/>
      <b val="1"/>
      <color rgb="FF17358F"/>
      <sz val="13"/>
      <scheme val="minor"/>
    </font>
    <font>
      <name val="游ゴシック"/>
      <charset val="128"/>
      <family val="3"/>
      <b val="1"/>
      <color rgb="FF17358F"/>
      <sz val="9"/>
      <scheme val="minor"/>
    </font>
    <font>
      <name val="游ゴシック"/>
      <charset val="128"/>
      <family val="2"/>
      <color theme="1"/>
      <sz val="8"/>
      <scheme val="minor"/>
    </font>
    <font>
      <name val="游ゴシック"/>
      <charset val="128"/>
      <family val="3"/>
      <b val="1"/>
      <color rgb="FF17358F"/>
      <sz val="8"/>
      <scheme val="minor"/>
    </font>
    <font>
      <name val="游ゴシック"/>
      <charset val="128"/>
      <family val="2"/>
      <color rgb="FF6B7488"/>
      <sz val="8"/>
      <scheme val="minor"/>
    </font>
    <font>
      <name val="游ゴシック"/>
      <charset val="128"/>
      <family val="3"/>
      <color rgb="FF6B7488"/>
      <sz val="8"/>
      <scheme val="minor"/>
    </font>
    <font>
      <name val="游ゴシック"/>
      <charset val="128"/>
      <family val="2"/>
      <color rgb="FF6B7488"/>
      <sz val="7"/>
      <scheme val="minor"/>
    </font>
    <font>
      <name val="游ゴシック"/>
      <charset val="128"/>
      <family val="3"/>
      <color rgb="FF6B7488"/>
      <sz val="7"/>
      <scheme val="minor"/>
    </font>
    <font>
      <name val="游ゴシック"/>
      <charset val="128"/>
      <family val="3"/>
      <color rgb="FF6B7488"/>
      <sz val="7.5"/>
      <scheme val="minor"/>
    </font>
    <font>
      <name val="游ゴシック"/>
      <charset val="128"/>
      <family val="3"/>
      <b val="1"/>
      <color theme="1"/>
      <sz val="8"/>
      <scheme val="minor"/>
    </font>
    <font>
      <name val="游ゴシック"/>
      <charset val="128"/>
      <family val="2"/>
      <color rgb="FFE88A12"/>
      <sz val="10"/>
      <scheme val="minor"/>
    </font>
    <font>
      <name val="游ゴシック"/>
      <charset val="128"/>
      <family val="2"/>
      <color theme="1"/>
      <sz val="7.5"/>
      <scheme val="minor"/>
    </font>
    <font>
      <name val="游ゴシック"/>
      <charset val="128"/>
      <family val="2"/>
      <color theme="1"/>
      <sz val="10"/>
      <scheme val="minor"/>
    </font>
    <font>
      <name val="游ゴシック"/>
      <charset val="128"/>
      <family val="3"/>
      <b val="1"/>
      <color theme="1"/>
      <sz val="10"/>
      <scheme val="minor"/>
    </font>
    <font>
      <name val="游ゴシック"/>
      <charset val="128"/>
      <family val="2"/>
      <color rgb="FF6B7488"/>
      <sz val="10"/>
      <scheme val="minor"/>
    </font>
    <font>
      <name val="游ゴシック"/>
      <charset val="128"/>
      <family val="3"/>
      <color theme="1"/>
      <sz val="11"/>
      <scheme val="minor"/>
    </font>
    <font>
      <name val="游ゴシック"/>
      <charset val="128"/>
      <family val="3"/>
      <color theme="1"/>
      <sz val="9"/>
      <scheme val="minor"/>
    </font>
    <font>
      <name val="游ゴシック"/>
      <charset val="128"/>
      <family val="3"/>
      <b val="1"/>
      <color rgb="FFFFFFFF"/>
      <sz val="9"/>
      <scheme val="minor"/>
    </font>
    <font>
      <name val="游ゴシック"/>
      <charset val="128"/>
      <family val="3"/>
      <b val="1"/>
      <color theme="1"/>
      <sz val="13"/>
      <scheme val="minor"/>
    </font>
    <font>
      <name val="游ゴシック"/>
      <charset val="128"/>
      <family val="3"/>
      <b val="1"/>
      <color rgb="FFFFFFFF"/>
      <sz val="10"/>
      <scheme val="minor"/>
    </font>
    <font>
      <name val="游ゴシック"/>
      <charset val="128"/>
      <family val="3"/>
      <b val="1"/>
      <color rgb="FFC81E1E"/>
      <sz val="10"/>
      <scheme val="minor"/>
    </font>
    <font>
      <name val="游ゴシック"/>
      <charset val="128"/>
      <family val="3"/>
      <b val="1"/>
      <color rgb="FF6B7488"/>
      <sz val="10"/>
      <scheme val="minor"/>
    </font>
    <font>
      <name val="游ゴシック"/>
      <charset val="128"/>
      <family val="3"/>
      <b val="1"/>
      <color rgb="FF17358F"/>
      <sz val="20"/>
      <scheme val="minor"/>
    </font>
    <font>
      <name val="游ゴシック"/>
      <charset val="128"/>
      <family val="3"/>
      <b val="1"/>
      <color rgb="FF17358F"/>
      <sz val="12"/>
      <scheme val="minor"/>
    </font>
    <font>
      <name val="游ゴシック"/>
      <charset val="128"/>
      <family val="2"/>
      <color rgb="FF6B7488"/>
      <sz val="9"/>
      <scheme val="minor"/>
    </font>
    <font>
      <name val="游ゴシック"/>
      <charset val="128"/>
      <family val="3"/>
      <b val="1"/>
      <color rgb="FF17358F"/>
      <sz val="30"/>
      <scheme val="minor"/>
    </font>
    <font>
      <name val="游ゴシック"/>
      <charset val="128"/>
      <family val="3"/>
      <color rgb="FF6B7488"/>
      <sz val="9"/>
      <scheme val="minor"/>
    </font>
    <font>
      <name val="游ゴシック"/>
      <charset val="128"/>
      <family val="3"/>
      <b val="1"/>
      <color rgb="FF17358F"/>
      <sz val="14"/>
      <scheme val="minor"/>
    </font>
    <font>
      <name val="游ゴシック"/>
      <charset val="128"/>
      <family val="3"/>
      <b val="1"/>
      <color theme="1"/>
      <sz val="9"/>
      <scheme val="minor"/>
    </font>
    <font>
      <name val="游ゴシック"/>
      <charset val="128"/>
      <family val="3"/>
      <b val="1"/>
      <color rgb="FFC81E1E"/>
      <sz val="9"/>
      <scheme val="minor"/>
    </font>
    <font>
      <name val="游ゴシック"/>
      <charset val="128"/>
      <family val="3"/>
      <b val="1"/>
      <color rgb="FFFFFFFF"/>
      <sz val="13"/>
      <scheme val="minor"/>
    </font>
    <font>
      <name val="游ゴシック"/>
      <charset val="128"/>
      <family val="3"/>
      <b val="1"/>
      <color rgb="FFFFFFFF"/>
      <sz val="8.5"/>
      <scheme val="minor"/>
    </font>
    <font>
      <name val="游ゴシック"/>
      <charset val="128"/>
      <family val="3"/>
      <color rgb="FF1D2433"/>
      <sz val="8"/>
      <scheme val="minor"/>
    </font>
    <font>
      <name val="游ゴシック"/>
      <charset val="128"/>
      <family val="3"/>
      <b val="1"/>
      <color rgb="FF17358F"/>
      <sz val="9.5"/>
      <scheme val="minor"/>
    </font>
    <font>
      <name val="游ゴシック"/>
      <charset val="128"/>
      <family val="3"/>
      <color rgb="FF1D2433"/>
      <sz val="8.5"/>
      <scheme val="minor"/>
    </font>
    <font>
      <name val="游ゴシック"/>
      <charset val="128"/>
      <family val="3"/>
      <b val="1"/>
      <color rgb="FF1D2433"/>
      <sz val="8.5"/>
      <scheme val="minor"/>
    </font>
    <font>
      <name val="游ゴシック"/>
      <charset val="128"/>
      <family val="3"/>
      <b val="1"/>
      <color rgb="FF17358F"/>
      <sz val="8.5"/>
      <scheme val="minor"/>
    </font>
    <font>
      <name val="游ゴシック"/>
      <charset val="128"/>
      <family val="2"/>
      <color theme="1"/>
      <sz val="12"/>
      <scheme val="minor"/>
    </font>
    <font>
      <name val="游ゴシック"/>
      <charset val="128"/>
      <family val="3"/>
      <b val="1"/>
      <color theme="1"/>
      <sz val="14"/>
      <scheme val="minor"/>
    </font>
    <font>
      <name val="游ゴシック"/>
      <charset val="128"/>
      <family val="3"/>
      <b val="1"/>
      <color rgb="FFFFFFFF"/>
      <sz val="14"/>
      <scheme val="minor"/>
    </font>
    <font>
      <name val="游ゴシック"/>
      <charset val="128"/>
      <family val="3"/>
      <b val="1"/>
      <color rgb="FF17358F"/>
      <sz val="11"/>
      <scheme val="minor"/>
    </font>
    <font>
      <name val="游ゴシック"/>
      <charset val="128"/>
      <family val="3"/>
      <b val="1"/>
      <color rgb="FF17358F"/>
      <sz val="15"/>
      <scheme val="minor"/>
    </font>
    <font>
      <name val="游ゴシック"/>
      <charset val="128"/>
      <family val="3"/>
      <b val="1"/>
      <color rgb="FF1D2433"/>
      <sz val="11"/>
      <scheme val="minor"/>
    </font>
    <font>
      <name val="游ゴシック"/>
      <charset val="128"/>
      <family val="3"/>
      <b val="1"/>
      <color rgb="FFFFFFFF"/>
      <sz val="12"/>
      <scheme val="minor"/>
    </font>
    <font>
      <name val="游ゴシック"/>
      <charset val="128"/>
      <family val="2"/>
      <color rgb="FF6B7488"/>
      <sz val="8.5"/>
      <scheme val="minor"/>
    </font>
    <font>
      <name val="游ゴシック"/>
      <charset val="128"/>
      <family val="3"/>
      <b val="1"/>
      <color rgb="FF1D2433"/>
      <sz val="7.5"/>
      <scheme val="minor"/>
    </font>
    <font>
      <name val="游ゴシック"/>
      <charset val="128"/>
      <family val="3"/>
      <b val="1"/>
      <color rgb="FFE88A12"/>
      <sz val="11"/>
      <scheme val="minor"/>
    </font>
    <font>
      <name val="游ゴシック"/>
      <charset val="128"/>
      <family val="3"/>
      <color rgb="FF6B7488"/>
      <sz val="8.5"/>
      <scheme val="minor"/>
    </font>
    <font>
      <name val="游ゴシック"/>
      <charset val="128"/>
      <family val="2"/>
      <color rgb="FF1D2433"/>
      <sz val="8"/>
      <scheme val="minor"/>
    </font>
    <font>
      <name val="游ゴシック"/>
      <charset val="128"/>
      <family val="3"/>
      <b val="1"/>
      <color theme="1"/>
      <sz val="7.5"/>
      <scheme val="minor"/>
    </font>
    <font>
      <name val="游ゴシック"/>
      <charset val="128"/>
      <family val="3"/>
      <b val="1"/>
      <color theme="1"/>
      <sz val="8.5"/>
      <scheme val="minor"/>
    </font>
    <font>
      <name val="游ゴシック"/>
      <charset val="128"/>
      <family val="3"/>
      <b val="1"/>
      <color theme="1"/>
      <sz val="11"/>
      <scheme val="minor"/>
    </font>
    <font>
      <name val="游ゴシック"/>
      <charset val="128"/>
      <family val="2"/>
      <color rgb="FF6B7488"/>
      <sz val="11"/>
      <scheme val="minor"/>
    </font>
    <font>
      <name val="游ゴシック"/>
      <b val="1"/>
      <color rgb="0017358F"/>
      <sz val="8"/>
    </font>
    <font>
      <name val="游ゴシック"/>
      <b val="1"/>
      <color rgb="00FFFFFF"/>
      <sz val="15"/>
    </font>
    <font>
      <name val="游ゴシック"/>
      <color rgb="006B7488"/>
      <sz val="9"/>
    </font>
    <font>
      <name val="游ゴシック"/>
      <b val="1"/>
      <color rgb="00FFFFFF"/>
      <sz val="11"/>
    </font>
    <font>
      <name val="游ゴシック"/>
      <b val="1"/>
      <color rgb="0017358F"/>
      <sz val="10"/>
    </font>
    <font>
      <name val="游ゴシック"/>
      <b val="1"/>
      <color rgb="001D2433"/>
      <sz val="11"/>
    </font>
    <font>
      <name val="游ゴシック"/>
      <color rgb="006B7488"/>
      <sz val="8.5"/>
    </font>
    <font>
      <name val="游ゴシック"/>
      <b val="1"/>
      <color rgb="00FFFFFF"/>
      <sz val="10"/>
    </font>
    <font>
      <name val="游ゴシック"/>
      <b val="1"/>
      <color rgb="001E8A4A"/>
      <sz val="13"/>
    </font>
    <font>
      <name val="游ゴシック"/>
      <b val="1"/>
      <color rgb="0017358F"/>
      <sz val="11"/>
    </font>
    <font>
      <name val="游ゴシック"/>
      <b val="1"/>
      <color rgb="0017358F"/>
      <sz val="9"/>
    </font>
    <font>
      <name val="游ゴシック"/>
      <color rgb="006B7488"/>
      <sz val="8"/>
    </font>
    <font>
      <name val="游ゴシック"/>
      <color rgb="001D2433"/>
      <sz val="9"/>
    </font>
    <font>
      <name val="游ゴシック"/>
      <color rgb="00C81E1E"/>
      <sz val="9"/>
    </font>
    <font>
      <name val="游ゴシック"/>
      <b val="1"/>
      <color rgb="00C81E1E"/>
      <sz val="9"/>
    </font>
    <font>
      <name val="游ゴシック"/>
      <color rgb="001D2433"/>
      <sz val="8"/>
    </font>
    <font>
      <name val="游ゴシック"/>
      <b val="1"/>
      <color rgb="001D2433"/>
      <sz val="14"/>
    </font>
    <font>
      <name val="游ゴシック"/>
      <b val="1"/>
      <color rgb="00FFFFFF"/>
      <sz val="8"/>
    </font>
    <font>
      <name val="游ゴシック"/>
      <b val="1"/>
      <color rgb="00C81E1E"/>
      <sz val="9.5"/>
    </font>
    <font>
      <name val="游ゴシック"/>
      <color rgb="001D2433"/>
      <sz val="10"/>
    </font>
    <font>
      <name val="游ゴシック"/>
      <b val="1"/>
      <color rgb="00FFFFFF"/>
      <sz val="17"/>
    </font>
    <font>
      <name val="游ゴシック"/>
      <b val="1"/>
      <color rgb="0017358F"/>
      <sz val="13"/>
    </font>
    <font>
      <name val="游ゴシック"/>
      <b val="1"/>
      <color rgb="001D2433"/>
      <sz val="9.5"/>
    </font>
    <font>
      <name val="游ゴシック"/>
      <b val="1"/>
      <color rgb="0017358F"/>
      <sz val="8.5"/>
    </font>
    <font>
      <name val="游ゴシック"/>
      <b val="1"/>
      <color rgb="00FFFFFF"/>
      <sz val="9"/>
    </font>
    <font>
      <name val="游ゴシック"/>
      <b val="1"/>
      <color rgb="001D2433"/>
      <sz val="9"/>
    </font>
    <font>
      <name val="游ゴシック"/>
      <b val="1"/>
      <color rgb="00E8735A"/>
      <sz val="8"/>
    </font>
    <font>
      <name val="游ゴシック"/>
      <b val="1"/>
      <color rgb="001D2433"/>
      <sz val="8.5"/>
    </font>
    <font>
      <name val="游ゴシック"/>
      <b val="1"/>
      <color rgb="00FFFFFF"/>
      <sz val="12"/>
    </font>
    <font>
      <name val="游ゴシック"/>
      <b val="1"/>
      <color rgb="00EEA832"/>
      <sz val="8"/>
    </font>
    <font>
      <name val="游ゴシック"/>
      <b val="1"/>
      <color rgb="005CAC4A"/>
      <sz val="8"/>
    </font>
    <font>
      <name val="游ゴシック"/>
      <b val="1"/>
      <color rgb="00469646"/>
      <sz val="8"/>
    </font>
    <font>
      <name val="游ゴシック"/>
      <b val="1"/>
      <color rgb="00328046"/>
      <sz val="8"/>
    </font>
    <font>
      <name val="游ゴシック"/>
      <b val="1"/>
      <color rgb="00BE6EBE"/>
      <sz val="8"/>
    </font>
    <font>
      <name val="游ゴシック"/>
      <b val="1"/>
      <color rgb="002896AA"/>
      <sz val="8"/>
    </font>
    <font>
      <name val="游ゴシック"/>
      <b val="1"/>
      <color rgb="003CA082"/>
      <sz val="8"/>
    </font>
    <font>
      <name val="游ゴシック"/>
      <b val="1"/>
      <color rgb="00828CA0"/>
      <sz val="8"/>
    </font>
  </fonts>
  <fills count="141">
    <fill>
      <patternFill/>
    </fill>
    <fill>
      <patternFill patternType="gray125"/>
    </fill>
    <fill>
      <patternFill patternType="solid">
        <fgColor rgb="FF17358F"/>
        <bgColor indexed="64"/>
      </patternFill>
    </fill>
    <fill>
      <patternFill patternType="solid">
        <fgColor rgb="FFFFD678"/>
        <bgColor indexed="64"/>
      </patternFill>
    </fill>
    <fill>
      <patternFill patternType="solid">
        <fgColor rgb="FFEEF2FB"/>
        <bgColor indexed="64"/>
      </patternFill>
    </fill>
    <fill>
      <patternFill patternType="solid">
        <fgColor rgb="FF1F4E9E"/>
        <bgColor indexed="64"/>
      </patternFill>
    </fill>
    <fill>
      <patternFill patternType="solid">
        <fgColor rgb="FF4678C4"/>
        <bgColor indexed="64"/>
      </patternFill>
    </fill>
    <fill>
      <patternFill patternType="solid">
        <fgColor rgb="FF3462B0"/>
        <bgColor indexed="64"/>
      </patternFill>
    </fill>
    <fill>
      <patternFill patternType="solid">
        <fgColor rgb="FF2850A0"/>
        <bgColor indexed="64"/>
      </patternFill>
    </fill>
    <fill>
      <patternFill patternType="solid">
        <fgColor rgb="FFE8735A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A832"/>
        <bgColor indexed="64"/>
      </patternFill>
    </fill>
    <fill>
      <patternFill patternType="solid">
        <fgColor rgb="FF5CAC4A"/>
        <bgColor indexed="64"/>
      </patternFill>
    </fill>
    <fill>
      <patternFill patternType="solid">
        <fgColor rgb="FF469646"/>
        <bgColor indexed="64"/>
      </patternFill>
    </fill>
    <fill>
      <patternFill patternType="solid">
        <fgColor rgb="FF328046"/>
        <bgColor indexed="64"/>
      </patternFill>
    </fill>
    <fill>
      <patternFill patternType="solid">
        <fgColor rgb="FFBE6EBE"/>
        <bgColor indexed="64"/>
      </patternFill>
    </fill>
    <fill>
      <patternFill patternType="solid">
        <fgColor rgb="FFA064BE"/>
        <bgColor indexed="64"/>
      </patternFill>
    </fill>
    <fill>
      <patternFill patternType="solid">
        <fgColor rgb="FF8C78C8"/>
        <bgColor indexed="64"/>
      </patternFill>
    </fill>
    <fill>
      <patternFill patternType="solid">
        <fgColor rgb="FF3C78C8"/>
        <bgColor indexed="64"/>
      </patternFill>
    </fill>
    <fill>
      <patternFill patternType="solid">
        <fgColor rgb="FF2896AA"/>
        <bgColor indexed="64"/>
      </patternFill>
    </fill>
    <fill>
      <patternFill patternType="solid">
        <fgColor rgb="FF3CA082"/>
        <bgColor indexed="64"/>
      </patternFill>
    </fill>
    <fill>
      <patternFill patternType="solid">
        <fgColor rgb="FF828CA0"/>
        <bgColor indexed="64"/>
      </patternFill>
    </fill>
    <fill>
      <patternFill patternType="solid">
        <fgColor rgb="FFF9D8D1"/>
        <bgColor indexed="64"/>
      </patternFill>
    </fill>
    <fill>
      <patternFill patternType="solid">
        <fgColor rgb="FFFDF1EE"/>
        <bgColor indexed="64"/>
      </patternFill>
    </fill>
    <fill>
      <patternFill patternType="solid">
        <fgColor rgb="FFFAE7C6"/>
        <bgColor indexed="64"/>
      </patternFill>
    </fill>
    <fill>
      <patternFill patternType="solid">
        <fgColor rgb="FFD1E8CC"/>
        <bgColor indexed="64"/>
      </patternFill>
    </fill>
    <fill>
      <patternFill patternType="solid">
        <fgColor rgb="FFEFF7ED"/>
        <bgColor indexed="64"/>
      </patternFill>
    </fill>
    <fill>
      <patternFill patternType="solid">
        <fgColor rgb="FFCBE2CB"/>
        <bgColor indexed="64"/>
      </patternFill>
    </fill>
    <fill>
      <patternFill patternType="solid">
        <fgColor rgb="FFECF4EC"/>
        <bgColor indexed="64"/>
      </patternFill>
    </fill>
    <fill>
      <patternFill patternType="solid">
        <fgColor rgb="FFC6DBCB"/>
        <bgColor indexed="64"/>
      </patternFill>
    </fill>
    <fill>
      <patternFill patternType="solid">
        <fgColor rgb="FFEAF2EC"/>
        <bgColor indexed="64"/>
      </patternFill>
    </fill>
    <fill>
      <patternFill patternType="solid">
        <fgColor rgb="FFEDD6ED"/>
        <bgColor indexed="64"/>
      </patternFill>
    </fill>
    <fill>
      <patternFill patternType="solid">
        <fgColor rgb="FFF8F0F8"/>
        <bgColor indexed="64"/>
      </patternFill>
    </fill>
    <fill>
      <patternFill patternType="solid">
        <fgColor rgb="FFE4D4ED"/>
        <bgColor indexed="64"/>
      </patternFill>
    </fill>
    <fill>
      <patternFill patternType="solid">
        <fgColor rgb="FFF6F0F8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E88A12"/>
        <bgColor indexed="64"/>
      </patternFill>
    </fill>
    <fill>
      <patternFill patternType="solid">
        <fgColor rgb="FFF5C0B5"/>
        <bgColor indexed="64"/>
      </patternFill>
    </fill>
    <fill>
      <patternFill patternType="solid">
        <fgColor rgb="FFFAE5CB"/>
        <bgColor indexed="64"/>
      </patternFill>
    </fill>
    <fill>
      <patternFill patternType="solid">
        <fgColor rgb="FFF7D8A3"/>
        <bgColor indexed="64"/>
      </patternFill>
    </fill>
    <fill>
      <patternFill patternType="solid">
        <fgColor rgb="FFB6DAAE"/>
        <bgColor indexed="64"/>
      </patternFill>
    </fill>
    <fill>
      <patternFill patternType="solid">
        <fgColor rgb="FFACD0AC"/>
        <bgColor indexed="64"/>
      </patternFill>
    </fill>
    <fill>
      <patternFill patternType="solid">
        <fgColor rgb="FFA3C6AC"/>
        <bgColor indexed="64"/>
      </patternFill>
    </fill>
    <fill>
      <patternFill patternType="solid">
        <fgColor rgb="FFFAE3DE"/>
        <bgColor indexed="64"/>
      </patternFill>
    </fill>
    <fill>
      <patternFill patternType="solid">
        <fgColor rgb="FFFDF3E8"/>
        <bgColor indexed="64"/>
      </patternFill>
    </fill>
    <fill>
      <patternFill patternType="solid">
        <fgColor rgb="FFFBEDD6"/>
        <bgColor indexed="64"/>
      </patternFill>
    </fill>
    <fill>
      <patternFill patternType="solid">
        <fgColor rgb="FFDEEEDB"/>
        <bgColor indexed="64"/>
      </patternFill>
    </fill>
    <fill>
      <patternFill patternType="solid">
        <fgColor rgb="FFDAEADA"/>
        <bgColor indexed="64"/>
      </patternFill>
    </fill>
    <fill>
      <patternFill patternType="solid">
        <fgColor rgb="FFD6E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E0DB"/>
        <bgColor indexed="64"/>
      </patternFill>
    </fill>
    <fill>
      <patternFill patternType="solid">
        <fgColor rgb="FFFBECD2"/>
        <bgColor indexed="64"/>
      </patternFill>
    </fill>
    <fill>
      <patternFill patternType="solid">
        <fgColor rgb="FFDBEDD7"/>
        <bgColor indexed="64"/>
      </patternFill>
    </fill>
    <fill>
      <patternFill patternType="solid">
        <fgColor rgb="FFD6E8D6"/>
        <bgColor indexed="64"/>
      </patternFill>
    </fill>
    <fill>
      <patternFill patternType="solid">
        <fgColor rgb="FFD2E3D6"/>
        <bgColor indexed="64"/>
      </patternFill>
    </fill>
    <fill>
      <patternFill patternType="solid">
        <fgColor rgb="FFF1DFF1"/>
        <bgColor indexed="64"/>
      </patternFill>
    </fill>
    <fill>
      <patternFill patternType="solid">
        <fgColor rgb="FFEADDF1"/>
        <bgColor indexed="64"/>
      </patternFill>
    </fill>
    <fill>
      <patternFill patternType="solid">
        <fgColor rgb="FFE6E1F3"/>
        <bgColor indexed="64"/>
      </patternFill>
    </fill>
    <fill>
      <patternFill patternType="solid">
        <fgColor rgb="FFD4E1F3"/>
        <bgColor indexed="64"/>
      </patternFill>
    </fill>
    <fill>
      <patternFill patternType="solid">
        <fgColor rgb="FFD0E8EC"/>
        <bgColor indexed="64"/>
      </patternFill>
    </fill>
    <fill>
      <patternFill patternType="solid">
        <fgColor rgb="FFD4EAE4"/>
        <bgColor indexed="64"/>
      </patternFill>
    </fill>
    <fill>
      <patternFill patternType="solid">
        <fgColor rgb="FFE4E6EA"/>
        <bgColor indexed="64"/>
      </patternFill>
    </fill>
    <fill>
      <patternFill patternType="solid">
        <fgColor rgb="0017358F"/>
      </patternFill>
    </fill>
    <fill>
      <patternFill patternType="solid">
        <fgColor rgb="001F4E9E"/>
      </patternFill>
    </fill>
    <fill>
      <patternFill patternType="solid">
        <fgColor rgb="00EEF2FB"/>
      </patternFill>
    </fill>
    <fill>
      <patternFill patternType="solid">
        <fgColor rgb="00FFF6CC"/>
      </patternFill>
    </fill>
    <fill>
      <patternFill patternType="solid">
        <fgColor rgb="00E8735A"/>
      </patternFill>
    </fill>
    <fill>
      <patternFill patternType="solid">
        <fgColor rgb="00EEA832"/>
      </patternFill>
    </fill>
    <fill>
      <patternFill patternType="solid">
        <fgColor rgb="005CAC4A"/>
      </patternFill>
    </fill>
    <fill>
      <patternFill patternType="solid">
        <fgColor rgb="00469646"/>
      </patternFill>
    </fill>
    <fill>
      <patternFill patternType="solid">
        <fgColor rgb="00328046"/>
      </patternFill>
    </fill>
    <fill>
      <patternFill patternType="solid">
        <fgColor rgb="00BE6EBE"/>
      </patternFill>
    </fill>
    <fill>
      <patternFill patternType="solid">
        <fgColor rgb="00A064BE"/>
      </patternFill>
    </fill>
    <fill>
      <patternFill patternType="solid">
        <fgColor rgb="008C78C8"/>
      </patternFill>
    </fill>
    <fill>
      <patternFill patternType="solid">
        <fgColor rgb="003C78C8"/>
      </patternFill>
    </fill>
    <fill>
      <patternFill patternType="solid">
        <fgColor rgb="002896AA"/>
      </patternFill>
    </fill>
    <fill>
      <patternFill patternType="solid">
        <fgColor rgb="003CA082"/>
      </patternFill>
    </fill>
    <fill>
      <patternFill patternType="solid">
        <fgColor rgb="00828CA0"/>
      </patternFill>
    </fill>
    <fill>
      <patternFill patternType="solid">
        <fgColor rgb="00FFFFFF"/>
      </patternFill>
    </fill>
    <fill>
      <patternFill patternType="solid">
        <fgColor rgb="003462B0"/>
      </patternFill>
    </fill>
    <fill>
      <patternFill patternType="solid">
        <fgColor rgb="00FAE0DB"/>
      </patternFill>
    </fill>
    <fill>
      <patternFill patternType="solid">
        <fgColor rgb="00FCEAE6"/>
      </patternFill>
    </fill>
    <fill>
      <patternFill patternType="solid">
        <fgColor rgb="00FDF3E8"/>
      </patternFill>
    </fill>
    <fill>
      <patternFill patternType="solid">
        <fgColor rgb="00FBECD2"/>
      </patternFill>
    </fill>
    <fill>
      <patternFill patternType="solid">
        <fgColor rgb="00FCF2E0"/>
      </patternFill>
    </fill>
    <fill>
      <patternFill patternType="solid">
        <fgColor rgb="00DBEDD7"/>
      </patternFill>
    </fill>
    <fill>
      <patternFill patternType="solid">
        <fgColor rgb="00E7F3E4"/>
      </patternFill>
    </fill>
    <fill>
      <patternFill patternType="solid">
        <fgColor rgb="00D6E8D6"/>
      </patternFill>
    </fill>
    <fill>
      <patternFill patternType="solid">
        <fgColor rgb="00E3EFE3"/>
      </patternFill>
    </fill>
    <fill>
      <patternFill patternType="solid">
        <fgColor rgb="00D2E3D6"/>
      </patternFill>
    </fill>
    <fill>
      <patternFill patternType="solid">
        <fgColor rgb="00E0ECE3"/>
      </patternFill>
    </fill>
    <fill>
      <patternFill patternType="solid">
        <fgColor rgb="00F1DFF1"/>
      </patternFill>
    </fill>
    <fill>
      <patternFill patternType="solid">
        <fgColor rgb="00F5E9F5"/>
      </patternFill>
    </fill>
    <fill>
      <patternFill patternType="solid">
        <fgColor rgb="00EADDF1"/>
      </patternFill>
    </fill>
    <fill>
      <patternFill patternType="solid">
        <fgColor rgb="00F1E8F5"/>
      </patternFill>
    </fill>
    <fill>
      <patternFill patternType="solid">
        <fgColor rgb="00E6E1F3"/>
      </patternFill>
    </fill>
    <fill>
      <patternFill patternType="solid">
        <fgColor rgb="00EEEBF7"/>
      </patternFill>
    </fill>
    <fill>
      <patternFill patternType="solid">
        <fgColor rgb="00D4E1F3"/>
      </patternFill>
    </fill>
    <fill>
      <patternFill patternType="solid">
        <fgColor rgb="00E2EBF7"/>
      </patternFill>
    </fill>
    <fill>
      <patternFill patternType="solid">
        <fgColor rgb="00D0E8EC"/>
      </patternFill>
    </fill>
    <fill>
      <patternFill patternType="solid">
        <fgColor rgb="00DFEFF2"/>
      </patternFill>
    </fill>
    <fill>
      <patternFill patternType="solid">
        <fgColor rgb="00D4EAE4"/>
      </patternFill>
    </fill>
    <fill>
      <patternFill patternType="solid">
        <fgColor rgb="00E2F1EC"/>
      </patternFill>
    </fill>
    <fill>
      <patternFill patternType="solid">
        <fgColor rgb="00E4E6EA"/>
      </patternFill>
    </fill>
    <fill>
      <patternFill patternType="solid">
        <fgColor rgb="00ECEEF1"/>
      </patternFill>
    </fill>
    <fill>
      <patternFill patternType="solid">
        <fgColor rgb="004678C4"/>
      </patternFill>
    </fill>
    <fill>
      <patternFill patternType="solid">
        <fgColor rgb="002850A0"/>
      </patternFill>
    </fill>
    <fill>
      <patternFill patternType="solid">
        <fgColor rgb="00FFD678"/>
      </patternFill>
    </fill>
    <fill>
      <patternFill patternType="solid">
        <fgColor rgb="00FCEEEB"/>
      </patternFill>
    </fill>
    <fill>
      <patternFill patternType="solid">
        <fgColor rgb="00F4F5F8"/>
      </patternFill>
    </fill>
    <fill>
      <patternFill patternType="solid">
        <fgColor rgb="00FDF1EE"/>
      </patternFill>
    </fill>
    <fill>
      <patternFill patternType="solid">
        <fgColor rgb="00F8D5CE"/>
      </patternFill>
    </fill>
    <fill>
      <patternFill patternType="solid">
        <fgColor rgb="00FCEBD6"/>
      </patternFill>
    </fill>
    <fill>
      <patternFill patternType="solid">
        <fgColor rgb="00FAE3DE"/>
      </patternFill>
    </fill>
    <fill>
      <patternFill patternType="solid">
        <fgColor rgb="00FDF5E6"/>
      </patternFill>
    </fill>
    <fill>
      <patternFill patternType="solid">
        <fgColor rgb="00FDF6EA"/>
      </patternFill>
    </fill>
    <fill>
      <patternFill patternType="solid">
        <fgColor rgb="00FAE5C2"/>
      </patternFill>
    </fill>
    <fill>
      <patternFill patternType="solid">
        <fgColor rgb="00FCEED6"/>
      </patternFill>
    </fill>
    <fill>
      <patternFill patternType="solid">
        <fgColor rgb="00EBF5E9"/>
      </patternFill>
    </fill>
    <fill>
      <patternFill patternType="solid">
        <fgColor rgb="00EFF7ED"/>
      </patternFill>
    </fill>
    <fill>
      <patternFill patternType="solid">
        <fgColor rgb="00CEE6C9"/>
      </patternFill>
    </fill>
    <fill>
      <patternFill patternType="solid">
        <fgColor rgb="00DEEEDB"/>
      </patternFill>
    </fill>
    <fill>
      <patternFill patternType="solid">
        <fgColor rgb="00E9F2E9"/>
      </patternFill>
    </fill>
    <fill>
      <patternFill patternType="solid">
        <fgColor rgb="00ECF4EC"/>
      </patternFill>
    </fill>
    <fill>
      <patternFill patternType="solid">
        <fgColor rgb="00C8E0C8"/>
      </patternFill>
    </fill>
    <fill>
      <patternFill patternType="solid">
        <fgColor rgb="00DAEADA"/>
      </patternFill>
    </fill>
    <fill>
      <patternFill patternType="solid">
        <fgColor rgb="00E6F0E9"/>
      </patternFill>
    </fill>
    <fill>
      <patternFill patternType="solid">
        <fgColor rgb="00EAF2EC"/>
      </patternFill>
    </fill>
    <fill>
      <patternFill patternType="solid">
        <fgColor rgb="00C2D9C8"/>
      </patternFill>
    </fill>
    <fill>
      <patternFill patternType="solid">
        <fgColor rgb="00D6E6DA"/>
      </patternFill>
    </fill>
    <fill>
      <patternFill patternType="solid">
        <fgColor rgb="00F7EEF7"/>
      </patternFill>
    </fill>
    <fill>
      <patternFill patternType="solid">
        <fgColor rgb="00F8F0F8"/>
      </patternFill>
    </fill>
    <fill>
      <patternFill patternType="solid">
        <fgColor rgb="00F2E2F2"/>
      </patternFill>
    </fill>
    <fill>
      <patternFill patternType="solid">
        <fgColor rgb="00E5F2F5"/>
      </patternFill>
    </fill>
    <fill>
      <patternFill patternType="solid">
        <fgColor rgb="00D4EAEE"/>
      </patternFill>
    </fill>
    <fill>
      <patternFill patternType="solid">
        <fgColor rgb="00E8F4F0"/>
      </patternFill>
    </fill>
    <fill>
      <patternFill patternType="solid">
        <fgColor rgb="00D8ECE6"/>
      </patternFill>
    </fill>
    <fill>
      <patternFill patternType="solid">
        <fgColor rgb="00F0F1F4"/>
      </patternFill>
    </fill>
    <fill>
      <patternFill patternType="solid">
        <fgColor rgb="00E6E8EC"/>
      </patternFill>
    </fill>
  </fills>
  <borders count="155">
    <border>
      <left/>
      <right/>
      <top/>
      <bottom/>
      <diagonal/>
    </border>
    <border>
      <left style="thin">
        <color rgb="FF8A93A8"/>
      </left>
      <right/>
      <top/>
      <bottom/>
      <diagonal/>
    </border>
    <border>
      <left/>
      <right style="thin">
        <color rgb="FF8A93A8"/>
      </right>
      <top style="thin">
        <color rgb="FF8A93A8"/>
      </top>
      <bottom/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/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medium">
        <color rgb="FF1D2433"/>
      </bottom>
      <diagonal/>
    </border>
    <border>
      <left style="medium">
        <color rgb="FF1D2433"/>
      </left>
      <right/>
      <top/>
      <bottom/>
      <diagonal/>
    </border>
    <border>
      <left style="medium">
        <color rgb="FF1D2433"/>
      </left>
      <right/>
      <top style="medium">
        <color rgb="FF1D2433"/>
      </top>
      <bottom/>
      <diagonal/>
    </border>
    <border>
      <left/>
      <right/>
      <top style="medium">
        <color rgb="FF1D2433"/>
      </top>
      <bottom/>
      <diagonal/>
    </border>
    <border>
      <left style="thin">
        <color rgb="FF8A93A8"/>
      </left>
      <right/>
      <top style="medium">
        <color rgb="FF1D2433"/>
      </top>
      <bottom/>
      <diagonal/>
    </border>
    <border>
      <left style="medium">
        <color rgb="FF1D2433"/>
      </left>
      <right/>
      <top/>
      <bottom style="medium">
        <color rgb="FF1D2433"/>
      </bottom>
      <diagonal/>
    </border>
    <border>
      <left/>
      <right/>
      <top/>
      <bottom style="medium">
        <color rgb="FF1D2433"/>
      </bottom>
      <diagonal/>
    </border>
    <border>
      <left style="thin">
        <color rgb="FF8A93A8"/>
      </left>
      <right/>
      <top/>
      <bottom style="medium">
        <color rgb="FF1D2433"/>
      </bottom>
      <diagonal/>
    </border>
    <border>
      <left/>
      <right style="medium">
        <color rgb="FF1D2433"/>
      </right>
      <top style="medium">
        <color rgb="FF1D2433"/>
      </top>
      <bottom/>
      <diagonal/>
    </border>
    <border>
      <left/>
      <right style="medium">
        <color rgb="FF1D2433"/>
      </right>
      <top/>
      <bottom/>
      <diagonal/>
    </border>
    <border>
      <left/>
      <right style="medium">
        <color rgb="FF1D2433"/>
      </right>
      <top/>
      <bottom style="medium">
        <color rgb="FF1D2433"/>
      </bottom>
      <diagonal/>
    </border>
    <border>
      <left style="thin">
        <color rgb="FF8A93A8"/>
      </left>
      <right style="medium">
        <color rgb="FF17358F"/>
      </right>
      <top style="thin">
        <color rgb="FF8A93A8"/>
      </top>
      <bottom/>
      <diagonal/>
    </border>
    <border>
      <left style="medium">
        <color rgb="FF1D2433"/>
      </left>
      <right/>
      <top/>
      <bottom style="medium">
        <color rgb="FFFFFFFF"/>
      </bottom>
      <diagonal/>
    </border>
    <border>
      <left/>
      <right style="medium">
        <color rgb="FF17358F"/>
      </right>
      <top style="medium">
        <color rgb="FF1D2433"/>
      </top>
      <bottom/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8A93A8"/>
      </top>
      <bottom/>
      <diagonal/>
    </border>
    <border>
      <left/>
      <right style="medium">
        <color rgb="FF17358F"/>
      </right>
      <top style="thin">
        <color rgb="FF8A93A8"/>
      </top>
      <bottom/>
      <diagonal/>
    </border>
    <border>
      <left/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thin">
        <color rgb="FF8A93A8"/>
      </left>
      <right/>
      <top style="thin">
        <color rgb="FF8A93A8"/>
      </top>
      <bottom/>
      <diagonal/>
    </border>
    <border>
      <left style="medium">
        <color rgb="FF1D2433"/>
      </left>
      <right style="medium">
        <color rgb="FF1D2433"/>
      </right>
      <top style="medium">
        <color rgb="FF1D2433"/>
      </top>
      <bottom/>
      <diagonal/>
    </border>
    <border>
      <left style="medium">
        <color rgb="FF1D2433"/>
      </left>
      <right style="medium">
        <color rgb="FF1D2433"/>
      </right>
      <top/>
      <bottom/>
      <diagonal/>
    </border>
    <border>
      <left style="thin">
        <color rgb="FF8A93A8"/>
      </left>
      <right/>
      <top/>
      <bottom style="thin">
        <color rgb="FF8A93A8"/>
      </bottom>
      <diagonal/>
    </border>
    <border>
      <left/>
      <right/>
      <top/>
      <bottom style="thin">
        <color rgb="FF8A93A8"/>
      </bottom>
      <diagonal/>
    </border>
    <border>
      <left/>
      <right style="thin">
        <color rgb="FF8A93A8"/>
      </right>
      <top/>
      <bottom/>
      <diagonal/>
    </border>
    <border>
      <left/>
      <right style="thin">
        <color rgb="FF8A93A8"/>
      </right>
      <top/>
      <bottom style="thin">
        <color rgb="FF8A93A8"/>
      </bottom>
      <diagonal/>
    </border>
    <border>
      <left/>
      <right/>
      <top/>
      <bottom style="medium">
        <color rgb="FF17358F"/>
      </bottom>
      <diagonal/>
    </border>
    <border>
      <left/>
      <right/>
      <top style="medium">
        <color rgb="FF17358F"/>
      </top>
      <bottom/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/>
      <diagonal/>
    </border>
    <border>
      <left/>
      <right style="thin">
        <color rgb="FFC8CEDA"/>
      </right>
      <top/>
      <bottom/>
      <diagonal/>
    </border>
    <border>
      <left/>
      <right style="medium">
        <color rgb="FF17358F"/>
      </right>
      <top/>
      <bottom/>
      <diagonal/>
    </border>
    <border>
      <left style="thin">
        <color rgb="FFC8CEDA"/>
      </left>
      <right/>
      <top/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/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/>
      <diagonal/>
    </border>
    <border>
      <left style="medium">
        <color rgb="FF1D2433"/>
      </left>
      <right style="medium">
        <color rgb="FF1D2433"/>
      </right>
      <top/>
      <bottom style="dotted">
        <color rgb="FFC8CEDA"/>
      </bottom>
      <diagonal/>
    </border>
    <border>
      <left style="medium">
        <color rgb="FF1D2433"/>
      </left>
      <right/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 style="medium">
        <color rgb="FFFFFFFF"/>
      </top>
      <bottom style="dotted">
        <color rgb="FFC8CEDA"/>
      </bottom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/>
      <bottom style="medium">
        <color rgb="FF1D2433"/>
      </bottom>
      <diagonal/>
    </border>
    <border>
      <left/>
      <right/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/>
      <diagonal/>
    </border>
    <border>
      <left/>
      <right/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medium">
        <color rgb="FF1D2433"/>
      </left>
      <right/>
      <top style="thin">
        <color rgb="FFC8CEDA"/>
      </top>
      <bottom style="thin">
        <color rgb="FFC8CEDA"/>
      </bottom>
      <diagonal/>
    </border>
    <border>
      <left/>
      <right/>
      <top style="medium">
        <color rgb="FF1D2433"/>
      </top>
      <bottom style="thin">
        <color rgb="FF8A93A8"/>
      </bottom>
      <diagonal/>
    </border>
    <border>
      <left/>
      <right style="medium">
        <color rgb="FF17358F"/>
      </right>
      <top style="medium">
        <color rgb="FF1D2433"/>
      </top>
      <bottom style="thin">
        <color rgb="FF8A93A8"/>
      </bottom>
      <diagonal/>
    </border>
    <border>
      <left/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/>
      <top/>
      <bottom style="dotted">
        <color rgb="FFC8CEDA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/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medium">
        <color rgb="FFFFFFFF"/>
      </top>
      <bottom style="medium">
        <color rgb="FFFFFFFF"/>
      </bottom>
      <diagonal/>
    </border>
    <border>
      <left/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medium">
        <color rgb="FF17358F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/>
      <top style="medium">
        <color rgb="FF1D2433"/>
      </top>
      <bottom style="medium">
        <color rgb="FF1D2433"/>
      </bottom>
      <diagonal/>
    </border>
    <border>
      <left/>
      <right style="thin">
        <color rgb="FFE4E6EA"/>
      </right>
      <top/>
      <bottom/>
      <diagonal/>
    </border>
    <border>
      <left/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thin">
        <color rgb="FFE4E6EA"/>
      </right>
      <top/>
      <bottom/>
      <diagonal/>
    </border>
    <border>
      <left style="thin">
        <color rgb="FFE4E6EA"/>
      </left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/>
      <bottom style="medium">
        <color rgb="FF1D2433"/>
      </bottom>
      <diagonal/>
    </border>
    <border>
      <left style="thin">
        <color rgb="FFE4E6E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D2433"/>
      </right>
      <top/>
      <bottom/>
      <diagonal/>
    </border>
    <border>
      <left style="thin">
        <color rgb="FFE4E6EA"/>
      </left>
      <right style="medium">
        <color rgb="FF1D2433"/>
      </right>
      <top/>
      <bottom style="thin">
        <color rgb="FF8A93A8"/>
      </bottom>
      <diagonal/>
    </border>
    <border>
      <left style="thin">
        <color rgb="FFE4E6EA"/>
      </left>
      <right style="medium">
        <color rgb="FF1D2433"/>
      </right>
      <top/>
      <bottom style="medium">
        <color rgb="FF1D2433"/>
      </bottom>
      <diagonal/>
    </border>
    <border>
      <left/>
      <right style="thin">
        <color rgb="FFE4E6EA"/>
      </right>
      <top style="thin">
        <color rgb="FFC8CEDA"/>
      </top>
      <bottom style="thin">
        <color rgb="FFC8CEDA"/>
      </bottom>
      <diagonal/>
    </border>
    <border>
      <left/>
      <right style="thin">
        <color rgb="FFE4E6EA"/>
      </right>
      <top/>
      <bottom style="medium">
        <color rgb="FF1D2433"/>
      </bottom>
      <diagonal/>
    </border>
    <border>
      <left style="medium">
        <color rgb="FF1D2433"/>
      </left>
      <right/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7358F"/>
      </right>
      <top/>
      <bottom/>
      <diagonal/>
    </border>
    <border>
      <left style="thin">
        <color rgb="FFE4E6EA"/>
      </left>
      <right style="medium">
        <color rgb="FF17358F"/>
      </right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/>
      <bottom style="medium">
        <color rgb="FF1D2433"/>
      </bottom>
      <diagonal/>
    </border>
    <border>
      <left style="thin">
        <color rgb="FFE4E6EA"/>
      </left>
      <right style="thin">
        <color rgb="FFE4E6EA"/>
      </right>
      <top style="thin">
        <color rgb="FFE4E6EA"/>
      </top>
      <bottom style="thin">
        <color rgb="FFE4E6EA"/>
      </bottom>
      <diagonal/>
    </border>
    <border>
      <left style="thin">
        <color rgb="FFFFFFFF"/>
      </left>
      <right style="medium">
        <color rgb="FF17358F"/>
      </right>
      <top/>
      <bottom/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 style="medium">
        <color rgb="FFFFFFFF"/>
      </bottom>
      <diagonal/>
    </border>
    <border>
      <left style="medium">
        <color rgb="FF1D2433"/>
      </left>
      <right/>
      <top style="medium">
        <color rgb="FFFFFFFF"/>
      </top>
      <bottom style="medium">
        <color rgb="FF1D2433"/>
      </bottom>
      <diagonal/>
    </border>
    <border>
      <left style="medium">
        <color rgb="FF1D2433"/>
      </left>
      <right/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/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/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medium">
        <color rgb="FF1D2433"/>
      </bottom>
      <diagonal/>
    </border>
    <border>
      <left/>
      <right style="thin">
        <color rgb="FF8A93A8"/>
      </right>
      <top style="medium">
        <color rgb="FF1D2433"/>
      </top>
      <bottom/>
      <diagonal/>
    </border>
    <border>
      <left/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/>
      <right/>
      <top style="thin">
        <color rgb="FF8A93A8"/>
      </top>
      <bottom style="thin">
        <color rgb="FF8A93A8"/>
      </bottom>
      <diagonal/>
    </border>
    <border>
      <left/>
      <right style="thin">
        <color rgb="FF8A93A8"/>
      </right>
      <top style="thin">
        <color rgb="FF8A93A8"/>
      </top>
      <bottom style="thin">
        <color rgb="FF8A93A8"/>
      </bottom>
      <diagonal/>
    </border>
    <border>
      <left/>
      <right/>
      <top style="thin">
        <color rgb="FF8A93A8"/>
      </top>
      <bottom style="medium">
        <color rgb="FF1D2433"/>
      </bottom>
      <diagonal/>
    </border>
    <border>
      <left/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/>
      <right/>
      <top style="thin">
        <color rgb="FFC8CEDA"/>
      </top>
      <bottom/>
      <diagonal/>
    </border>
    <border>
      <left/>
      <right style="thin">
        <color rgb="FFE4E6EA"/>
      </right>
      <top style="thin">
        <color rgb="FFC8CEDA"/>
      </top>
      <bottom/>
      <diagonal/>
    </border>
    <border>
      <left/>
      <right/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/>
      <right style="medium">
        <color rgb="FF17358F"/>
      </right>
      <top style="thin">
        <color rgb="FFC8CEDA"/>
      </top>
      <bottom/>
      <diagonal/>
    </border>
    <border>
      <left style="medium">
        <color rgb="FF1D2433"/>
      </left>
      <right/>
      <top/>
      <bottom style="thin">
        <color rgb="FFC8CEDA"/>
      </bottom>
      <diagonal/>
    </border>
    <border>
      <left/>
      <right style="medium">
        <color rgb="FF17358F"/>
      </right>
      <top/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/>
      <diagonal/>
    </border>
    <border>
      <left/>
      <right style="thin">
        <color rgb="FFC8CEDA"/>
      </right>
      <top style="thin">
        <color rgb="FFC8CEDA"/>
      </top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C8CEDA"/>
      </top>
      <bottom style="medium">
        <color rgb="FF1D2433"/>
      </bottom>
      <diagonal/>
    </border>
    <border>
      <left/>
      <right style="thin">
        <color rgb="FFC8CEDA"/>
      </right>
      <top style="medium">
        <color rgb="FF1D2433"/>
      </top>
      <bottom/>
      <diagonal/>
    </border>
    <border>
      <left/>
      <right/>
      <top style="medium">
        <color rgb="FF1D2433"/>
      </top>
      <bottom style="thin">
        <color rgb="FFC8CEDA"/>
      </bottom>
      <diagonal/>
    </border>
    <border>
      <left/>
      <right style="thin">
        <color rgb="FFC8CEDA"/>
      </right>
      <top style="medium">
        <color rgb="FF1D2433"/>
      </top>
      <bottom style="thin">
        <color rgb="FFC8CEDA"/>
      </bottom>
      <diagonal/>
    </border>
    <border>
      <top style="thin">
        <color rgb="00BEC3CD"/>
      </top>
      <bottom style="thin">
        <color rgb="00BEC3CD"/>
      </bottom>
    </border>
    <border>
      <left style="thin">
        <color rgb="00BEC3CD"/>
      </left>
      <right style="thin">
        <color rgb="00BEC3CD"/>
      </right>
      <top style="thin">
        <color rgb="00BEC3CD"/>
      </top>
      <bottom style="thin">
        <color rgb="00BEC3CD"/>
      </bottom>
    </border>
    <border>
      <bottom style="thin">
        <color rgb="00BEC3CD"/>
      </bottom>
    </border>
    <border>
      <left/>
      <right/>
      <top style="thin">
        <color rgb="00BEC3CD"/>
      </top>
      <bottom/>
      <diagonal/>
    </border>
    <border>
      <left/>
      <right/>
      <top style="thin">
        <color rgb="00BEC3CD"/>
      </top>
      <bottom style="thin">
        <color rgb="00BEC3CD"/>
      </bottom>
      <diagonal/>
    </border>
    <border>
      <top style="thin">
        <color rgb="0017358F"/>
      </top>
      <bottom style="thin">
        <color rgb="00BEC3CD"/>
      </bottom>
    </border>
    <border>
      <bottom style="thin">
        <color rgb="00C9CED8"/>
      </bottom>
    </border>
    <border>
      <left style="thin">
        <color rgb="00C9CED8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thin">
        <color rgb="00C9CED8"/>
      </bottom>
    </border>
    <border>
      <left/>
      <right/>
      <top style="thin">
        <color rgb="00C9CED8"/>
      </top>
      <bottom/>
      <diagonal/>
    </border>
    <border>
      <left/>
      <right style="thin">
        <color rgb="00C9CED8"/>
      </right>
      <top style="thin">
        <color rgb="00C9CED8"/>
      </top>
      <bottom/>
      <diagonal/>
    </border>
    <border>
      <left/>
      <right/>
      <top style="thin">
        <color rgb="00C9CED8"/>
      </top>
      <bottom style="thin">
        <color rgb="00C9CED8"/>
      </bottom>
      <diagonal/>
    </border>
    <border>
      <left/>
      <right style="thin">
        <color rgb="00C9CED8"/>
      </right>
      <top style="thin">
        <color rgb="00C9CED8"/>
      </top>
      <bottom style="thin">
        <color rgb="00C9CED8"/>
      </bottom>
      <diagonal/>
    </border>
    <border>
      <left style="medium">
        <color rgb="0017358F"/>
      </left>
    </border>
    <border>
      <left style="medium">
        <color rgb="0017358F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medium">
        <color rgb="0017358F"/>
      </bottom>
    </border>
    <border>
      <left/>
      <right/>
      <top style="thin">
        <color rgb="00C9CED8"/>
      </top>
      <bottom style="medium">
        <color rgb="0017358F"/>
      </bottom>
    </border>
    <border>
      <left/>
      <right style="thin">
        <color rgb="00C9CED8"/>
      </right>
      <top style="thin">
        <color rgb="00C9CED8"/>
      </top>
      <bottom style="medium">
        <color rgb="0017358F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thin">
        <color rgb="00C9CED8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medium">
        <color rgb="0017358F"/>
      </bottom>
    </border>
  </borders>
  <cellStyleXfs count="1">
    <xf numFmtId="0" fontId="0" fillId="0" borderId="0" applyAlignment="1">
      <alignment vertical="center"/>
    </xf>
  </cellStyleXfs>
  <cellXfs count="858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7" fillId="0" borderId="35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3" fillId="4" borderId="3" applyAlignment="1" pivotButton="0" quotePrefix="0" xfId="0">
      <alignment horizontal="center" vertical="center"/>
    </xf>
    <xf numFmtId="0" fontId="16" fillId="36" borderId="3" applyAlignment="1" pivotButton="0" quotePrefix="0" xfId="0">
      <alignment vertical="center"/>
    </xf>
    <xf numFmtId="165" fontId="24" fillId="35" borderId="3" applyAlignment="1" pivotButton="0" quotePrefix="0" xfId="0">
      <alignment vertical="center"/>
    </xf>
    <xf numFmtId="14" fontId="16" fillId="35" borderId="3" applyAlignment="1" pivotButton="0" quotePrefix="0" xfId="0">
      <alignment horizontal="center" vertical="center"/>
    </xf>
    <xf numFmtId="165" fontId="16" fillId="35" borderId="3" applyAlignment="1" pivotButton="0" quotePrefix="0" xfId="0">
      <alignment horizontal="center" vertical="center"/>
    </xf>
    <xf numFmtId="14" fontId="16" fillId="4" borderId="3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0" fontId="3" fillId="4" borderId="5" applyAlignment="1" pivotButton="0" quotePrefix="0" xfId="0">
      <alignment horizontal="center" vertical="center"/>
    </xf>
    <xf numFmtId="0" fontId="24" fillId="36" borderId="5" applyAlignment="1" pivotButton="0" quotePrefix="0" xfId="0">
      <alignment horizontal="center" vertical="center"/>
    </xf>
    <xf numFmtId="0" fontId="16" fillId="35" borderId="5" applyAlignment="1" pivotButton="0" quotePrefix="0" xfId="0">
      <alignment vertical="center"/>
    </xf>
    <xf numFmtId="0" fontId="3" fillId="4" borderId="8" applyAlignment="1" pivotButton="0" quotePrefix="0" xfId="0">
      <alignment horizontal="center" vertical="center"/>
    </xf>
    <xf numFmtId="0" fontId="16" fillId="4" borderId="9" applyAlignment="1" pivotButton="0" quotePrefix="0" xfId="0">
      <alignment vertical="center"/>
    </xf>
    <xf numFmtId="166" fontId="17" fillId="4" borderId="9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165" fontId="24" fillId="35" borderId="11" applyAlignment="1" pivotButton="0" quotePrefix="0" xfId="0">
      <alignment vertical="center"/>
    </xf>
    <xf numFmtId="165" fontId="16" fillId="35" borderId="11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center" vertical="center"/>
    </xf>
    <xf numFmtId="9" fontId="17" fillId="0" borderId="3" applyAlignment="1" pivotButton="0" quotePrefix="0" xfId="0">
      <alignment horizontal="center" vertical="center"/>
    </xf>
    <xf numFmtId="0" fontId="16" fillId="35" borderId="9" applyAlignment="1" pivotButton="0" quotePrefix="0" xfId="0">
      <alignment horizontal="center" vertical="center"/>
    </xf>
    <xf numFmtId="9" fontId="17" fillId="0" borderId="9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9" fontId="9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3" fillId="4" borderId="6" applyAlignment="1" pivotButton="0" quotePrefix="0" xfId="0">
      <alignment horizontal="center" vertical="center"/>
    </xf>
    <xf numFmtId="0" fontId="14" fillId="0" borderId="46" applyAlignment="1" pivotButton="0" quotePrefix="0" xfId="0">
      <alignment horizontal="right" vertical="center"/>
    </xf>
    <xf numFmtId="9" fontId="31" fillId="0" borderId="29" applyAlignment="1" pivotButton="0" quotePrefix="0" xfId="0">
      <alignment horizontal="left" vertical="center"/>
    </xf>
    <xf numFmtId="0" fontId="5" fillId="4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36" fillId="22" borderId="32" applyAlignment="1" pivotButton="0" quotePrefix="0" xfId="0">
      <alignment horizontal="center" vertical="center"/>
    </xf>
    <xf numFmtId="0" fontId="36" fillId="22" borderId="33" applyAlignment="1" pivotButton="0" quotePrefix="0" xfId="0">
      <alignment horizontal="center" vertical="center"/>
    </xf>
    <xf numFmtId="0" fontId="9" fillId="23" borderId="34" applyAlignment="1" pivotButton="0" quotePrefix="0" xfId="0">
      <alignment horizontal="center" vertical="center"/>
    </xf>
    <xf numFmtId="0" fontId="36" fillId="22" borderId="34" applyAlignment="1" pivotButton="0" quotePrefix="0" xfId="0">
      <alignment horizontal="center" vertical="center"/>
    </xf>
    <xf numFmtId="0" fontId="36" fillId="24" borderId="32" applyAlignment="1" pivotButton="0" quotePrefix="0" xfId="0">
      <alignment horizontal="center" vertical="center"/>
    </xf>
    <xf numFmtId="0" fontId="36" fillId="24" borderId="33" applyAlignment="1" pivotButton="0" quotePrefix="0" xfId="0">
      <alignment horizontal="center" vertical="center"/>
    </xf>
    <xf numFmtId="0" fontId="36" fillId="24" borderId="34" applyAlignment="1" pivotButton="0" quotePrefix="0" xfId="0">
      <alignment horizontal="center" vertical="center"/>
    </xf>
    <xf numFmtId="0" fontId="36" fillId="25" borderId="32" applyAlignment="1" pivotButton="0" quotePrefix="0" xfId="0">
      <alignment horizontal="center" vertical="center"/>
    </xf>
    <xf numFmtId="0" fontId="36" fillId="25" borderId="33" applyAlignment="1" pivotButton="0" quotePrefix="0" xfId="0">
      <alignment horizontal="center" vertical="center"/>
    </xf>
    <xf numFmtId="0" fontId="9" fillId="26" borderId="33" applyAlignment="1" pivotButton="0" quotePrefix="0" xfId="0">
      <alignment horizontal="center" vertical="center"/>
    </xf>
    <xf numFmtId="0" fontId="9" fillId="26" borderId="34" applyAlignment="1" pivotButton="0" quotePrefix="0" xfId="0">
      <alignment horizontal="center" vertical="center"/>
    </xf>
    <xf numFmtId="0" fontId="36" fillId="27" borderId="32" applyAlignment="1" pivotButton="0" quotePrefix="0" xfId="0">
      <alignment horizontal="center" vertical="center"/>
    </xf>
    <xf numFmtId="0" fontId="36" fillId="27" borderId="33" applyAlignment="1" pivotButton="0" quotePrefix="0" xfId="0">
      <alignment horizontal="center" vertical="center"/>
    </xf>
    <xf numFmtId="0" fontId="9" fillId="28" borderId="33" applyAlignment="1" pivotButton="0" quotePrefix="0" xfId="0">
      <alignment horizontal="center" vertical="center"/>
    </xf>
    <xf numFmtId="0" fontId="9" fillId="28" borderId="34" applyAlignment="1" pivotButton="0" quotePrefix="0" xfId="0">
      <alignment horizontal="center" vertical="center"/>
    </xf>
    <xf numFmtId="0" fontId="36" fillId="27" borderId="34" applyAlignment="1" pivotButton="0" quotePrefix="0" xfId="0">
      <alignment horizontal="center" vertical="center"/>
    </xf>
    <xf numFmtId="0" fontId="36" fillId="29" borderId="32" applyAlignment="1" pivotButton="0" quotePrefix="0" xfId="0">
      <alignment horizontal="center" vertical="center"/>
    </xf>
    <xf numFmtId="0" fontId="9" fillId="30" borderId="33" applyAlignment="1" pivotButton="0" quotePrefix="0" xfId="0">
      <alignment horizontal="center" vertical="center"/>
    </xf>
    <xf numFmtId="0" fontId="9" fillId="30" borderId="34" applyAlignment="1" pivotButton="0" quotePrefix="0" xfId="0">
      <alignment horizontal="center" vertical="center"/>
    </xf>
    <xf numFmtId="0" fontId="36" fillId="10" borderId="32" applyAlignment="1" pivotButton="0" quotePrefix="0" xfId="0">
      <alignment horizontal="center" vertical="center"/>
    </xf>
    <xf numFmtId="0" fontId="36" fillId="10" borderId="34" applyAlignment="1" pivotButton="0" quotePrefix="0" xfId="0">
      <alignment horizontal="center" vertical="center"/>
    </xf>
    <xf numFmtId="0" fontId="36" fillId="31" borderId="32" applyAlignment="1" pivotButton="0" quotePrefix="0" xfId="0">
      <alignment horizontal="center" vertical="center"/>
    </xf>
    <xf numFmtId="0" fontId="36" fillId="31" borderId="33" applyAlignment="1" pivotButton="0" quotePrefix="0" xfId="0">
      <alignment horizontal="center" vertical="center"/>
    </xf>
    <xf numFmtId="0" fontId="36" fillId="31" borderId="34" applyAlignment="1" pivotButton="0" quotePrefix="0" xfId="0">
      <alignment horizontal="center" vertical="center"/>
    </xf>
    <xf numFmtId="0" fontId="36" fillId="33" borderId="32" applyAlignment="1" pivotButton="0" quotePrefix="0" xfId="0">
      <alignment horizontal="center" vertical="center"/>
    </xf>
    <xf numFmtId="0" fontId="36" fillId="33" borderId="33" applyAlignment="1" pivotButton="0" quotePrefix="0" xfId="0">
      <alignment horizontal="center" vertical="center"/>
    </xf>
    <xf numFmtId="0" fontId="9" fillId="34" borderId="34" applyAlignment="1" pivotButton="0" quotePrefix="0" xfId="0">
      <alignment horizontal="center" vertical="center"/>
    </xf>
    <xf numFmtId="0" fontId="36" fillId="33" borderId="34" applyAlignment="1" pivotButton="0" quotePrefix="0" xfId="0">
      <alignment horizontal="center" vertical="center"/>
    </xf>
    <xf numFmtId="0" fontId="36" fillId="10" borderId="33" applyAlignment="1" pivotButton="0" quotePrefix="0" xfId="0">
      <alignment horizontal="center" vertical="center"/>
    </xf>
    <xf numFmtId="0" fontId="39" fillId="3" borderId="4" applyAlignment="1" pivotButton="0" quotePrefix="0" xfId="0">
      <alignment horizontal="center" vertical="center" shrinkToFit="1"/>
    </xf>
    <xf numFmtId="0" fontId="40" fillId="4" borderId="4" applyAlignment="1" pivotButton="0" quotePrefix="0" xfId="0">
      <alignment horizontal="center" vertical="center" shrinkToFit="1"/>
    </xf>
    <xf numFmtId="0" fontId="40" fillId="4" borderId="23" applyAlignment="1" pivotButton="0" quotePrefix="0" xfId="0">
      <alignment horizontal="center" vertical="center" shrinkToFit="1"/>
    </xf>
    <xf numFmtId="0" fontId="39" fillId="3" borderId="2" applyAlignment="1" pivotButton="0" quotePrefix="0" xfId="0">
      <alignment horizontal="center" vertical="center" shrinkToFit="1"/>
    </xf>
    <xf numFmtId="0" fontId="39" fillId="3" borderId="23" applyAlignment="1" pivotButton="0" quotePrefix="0" xfId="0">
      <alignment horizontal="center" vertical="center" shrinkToFit="1"/>
    </xf>
    <xf numFmtId="0" fontId="40" fillId="4" borderId="2" applyAlignment="1" pivotButton="0" quotePrefix="0" xfId="0">
      <alignment horizontal="center" vertical="center" shrinkToFit="1"/>
    </xf>
    <xf numFmtId="0" fontId="39" fillId="3" borderId="36" applyAlignment="1" pivotButton="0" quotePrefix="0" xfId="0">
      <alignment horizontal="center" vertical="center" shrinkToFit="1"/>
    </xf>
    <xf numFmtId="0" fontId="40" fillId="0" borderId="14" applyAlignment="1" pivotButton="0" quotePrefix="0" xfId="0">
      <alignment horizontal="center" vertical="center"/>
    </xf>
    <xf numFmtId="0" fontId="40" fillId="0" borderId="13" applyAlignment="1" pivotButton="0" quotePrefix="0" xfId="0">
      <alignment horizontal="center" vertical="center"/>
    </xf>
    <xf numFmtId="0" fontId="36" fillId="29" borderId="33" applyAlignment="1" pivotButton="0" quotePrefix="0" xfId="0">
      <alignment horizontal="center" vertical="center"/>
    </xf>
    <xf numFmtId="0" fontId="16" fillId="35" borderId="0" applyAlignment="1" pivotButton="0" quotePrefix="0" xfId="0">
      <alignment vertical="center"/>
    </xf>
    <xf numFmtId="14" fontId="16" fillId="35" borderId="0" applyAlignment="1" pivotButton="0" quotePrefix="0" xfId="0">
      <alignment vertical="center"/>
    </xf>
    <xf numFmtId="0" fontId="25" fillId="0" borderId="35" applyAlignment="1" pivotButton="0" quotePrefix="0" xfId="0">
      <alignment horizontal="center" vertical="center"/>
    </xf>
    <xf numFmtId="164" fontId="18" fillId="35" borderId="35" applyAlignment="1" pivotButton="0" quotePrefix="0" xfId="0">
      <alignment horizontal="center" vertical="center"/>
    </xf>
    <xf numFmtId="0" fontId="25" fillId="0" borderId="0" applyAlignment="1" pivotButton="0" quotePrefix="0" xfId="0">
      <alignment vertical="center"/>
    </xf>
    <xf numFmtId="0" fontId="18" fillId="0" borderId="0" applyAlignment="1" pivotButton="0" quotePrefix="1" xfId="0">
      <alignment vertical="center"/>
    </xf>
    <xf numFmtId="0" fontId="1" fillId="35" borderId="5" applyAlignment="1" pivotButton="0" quotePrefix="0" xfId="0">
      <alignment vertical="center"/>
    </xf>
    <xf numFmtId="0" fontId="20" fillId="35" borderId="5" applyAlignment="1" pivotButton="0" quotePrefix="0" xfId="0">
      <alignment vertical="center"/>
    </xf>
    <xf numFmtId="0" fontId="20" fillId="35" borderId="8" applyAlignment="1" pivotButton="0" quotePrefix="0" xfId="0">
      <alignment vertical="center"/>
    </xf>
    <xf numFmtId="0" fontId="15" fillId="10" borderId="55" applyAlignment="1" pivotButton="0" quotePrefix="0" xfId="0">
      <alignment horizontal="center" vertical="center"/>
    </xf>
    <xf numFmtId="0" fontId="15" fillId="10" borderId="53" applyAlignment="1" pivotButton="0" quotePrefix="0" xfId="0">
      <alignment horizontal="center" vertical="center"/>
    </xf>
    <xf numFmtId="0" fontId="15" fillId="10" borderId="56" applyAlignment="1" pivotButton="0" quotePrefix="0" xfId="0">
      <alignment horizontal="center" vertical="center"/>
    </xf>
    <xf numFmtId="0" fontId="9" fillId="23" borderId="57" applyAlignment="1" pivotButton="0" quotePrefix="0" xfId="0">
      <alignment horizontal="center" vertical="center"/>
    </xf>
    <xf numFmtId="0" fontId="13" fillId="10" borderId="58" applyAlignment="1" pivotButton="0" quotePrefix="0" xfId="0">
      <alignment horizontal="center" vertical="center" wrapText="1"/>
    </xf>
    <xf numFmtId="9" fontId="37" fillId="10" borderId="38" applyAlignment="1" pivotButton="0" quotePrefix="0" xfId="0">
      <alignment horizontal="center" vertical="center"/>
    </xf>
    <xf numFmtId="0" fontId="36" fillId="24" borderId="57" applyAlignment="1" pivotButton="0" quotePrefix="0" xfId="0">
      <alignment horizontal="center" vertical="center"/>
    </xf>
    <xf numFmtId="0" fontId="13" fillId="10" borderId="60" applyAlignment="1" pivotButton="0" quotePrefix="0" xfId="0">
      <alignment horizontal="center" vertical="center" wrapText="1"/>
    </xf>
    <xf numFmtId="0" fontId="9" fillId="26" borderId="57" applyAlignment="1" pivotButton="0" quotePrefix="0" xfId="0">
      <alignment horizontal="center" vertical="center"/>
    </xf>
    <xf numFmtId="0" fontId="38" fillId="10" borderId="50" applyAlignment="1" pivotButton="0" quotePrefix="0" xfId="0">
      <alignment horizontal="center" vertical="center" wrapText="1"/>
    </xf>
    <xf numFmtId="0" fontId="38" fillId="10" borderId="49" applyAlignment="1" pivotButton="0" quotePrefix="0" xfId="0">
      <alignment horizontal="center" vertical="center" wrapText="1"/>
    </xf>
    <xf numFmtId="0" fontId="9" fillId="28" borderId="57" applyAlignment="1" pivotButton="0" quotePrefix="0" xfId="0">
      <alignment horizontal="center" vertical="center"/>
    </xf>
    <xf numFmtId="0" fontId="38" fillId="10" borderId="52" applyAlignment="1" pivotButton="0" quotePrefix="0" xfId="0">
      <alignment horizontal="center" vertical="center" wrapText="1"/>
    </xf>
    <xf numFmtId="0" fontId="36" fillId="10" borderId="57" applyAlignment="1" pivotButton="0" quotePrefix="0" xfId="0">
      <alignment horizontal="center" vertical="center"/>
    </xf>
    <xf numFmtId="0" fontId="9" fillId="32" borderId="57" applyAlignment="1" pivotButton="0" quotePrefix="0" xfId="0">
      <alignment horizontal="center" vertical="center"/>
    </xf>
    <xf numFmtId="0" fontId="38" fillId="10" borderId="48" applyAlignment="1" pivotButton="0" quotePrefix="0" xfId="0">
      <alignment horizontal="center" vertical="center" wrapText="1"/>
    </xf>
    <xf numFmtId="0" fontId="9" fillId="34" borderId="57" applyAlignment="1" pivotButton="0" quotePrefix="0" xfId="0">
      <alignment horizontal="center" vertical="center"/>
    </xf>
    <xf numFmtId="9" fontId="37" fillId="10" borderId="62" applyAlignment="1" pivotButton="0" quotePrefix="0" xfId="0">
      <alignment horizontal="center" vertical="center"/>
    </xf>
    <xf numFmtId="0" fontId="15" fillId="10" borderId="32" applyAlignment="1" pivotButton="0" quotePrefix="0" xfId="0">
      <alignment horizontal="center" vertical="center"/>
    </xf>
    <xf numFmtId="0" fontId="15" fillId="10" borderId="33" applyAlignment="1" pivotButton="0" quotePrefix="0" xfId="0">
      <alignment horizontal="center" vertical="center"/>
    </xf>
    <xf numFmtId="0" fontId="15" fillId="10" borderId="34" applyAlignment="1" pivotButton="0" quotePrefix="0" xfId="0">
      <alignment horizontal="center" vertical="center"/>
    </xf>
    <xf numFmtId="0" fontId="0" fillId="10" borderId="38" applyAlignment="1" pivotButton="0" quotePrefix="0" xfId="0">
      <alignment vertical="center"/>
    </xf>
    <xf numFmtId="0" fontId="48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15" fillId="10" borderId="50" applyAlignment="1" pivotButton="0" quotePrefix="0" xfId="0">
      <alignment horizontal="center" vertical="center"/>
    </xf>
    <xf numFmtId="0" fontId="15" fillId="10" borderId="48" applyAlignment="1" pivotButton="0" quotePrefix="0" xfId="0">
      <alignment horizontal="center" vertical="center"/>
    </xf>
    <xf numFmtId="0" fontId="15" fillId="10" borderId="49" applyAlignment="1" pivotButton="0" quotePrefix="0" xfId="0">
      <alignment horizontal="center" vertical="center"/>
    </xf>
    <xf numFmtId="0" fontId="15" fillId="10" borderId="52" applyAlignment="1" pivotButton="0" quotePrefix="0" xfId="0">
      <alignment horizontal="center" vertical="center"/>
    </xf>
    <xf numFmtId="0" fontId="52" fillId="45" borderId="73" applyAlignment="1" pivotButton="0" quotePrefix="0" xfId="0">
      <alignment horizontal="center" vertical="center"/>
    </xf>
    <xf numFmtId="0" fontId="52" fillId="45" borderId="74" applyAlignment="1" pivotButton="0" quotePrefix="0" xfId="0">
      <alignment horizontal="center" vertical="center"/>
    </xf>
    <xf numFmtId="0" fontId="52" fillId="45" borderId="75" applyAlignment="1" pivotButton="0" quotePrefix="0" xfId="0">
      <alignment horizontal="center" vertical="center"/>
    </xf>
    <xf numFmtId="0" fontId="52" fillId="46" borderId="77" applyAlignment="1" pivotButton="0" quotePrefix="0" xfId="0">
      <alignment horizontal="center" vertical="center"/>
    </xf>
    <xf numFmtId="0" fontId="52" fillId="46" borderId="78" applyAlignment="1" pivotButton="0" quotePrefix="0" xfId="0">
      <alignment horizontal="center" vertical="center"/>
    </xf>
    <xf numFmtId="0" fontId="52" fillId="46" borderId="79" applyAlignment="1" pivotButton="0" quotePrefix="0" xfId="0">
      <alignment horizontal="center" vertical="center"/>
    </xf>
    <xf numFmtId="0" fontId="52" fillId="47" borderId="73" applyAlignment="1" pivotButton="0" quotePrefix="0" xfId="0">
      <alignment horizontal="center" vertical="center"/>
    </xf>
    <xf numFmtId="0" fontId="52" fillId="47" borderId="74" applyAlignment="1" pivotButton="0" quotePrefix="0" xfId="0">
      <alignment horizontal="center" vertical="center"/>
    </xf>
    <xf numFmtId="0" fontId="52" fillId="47" borderId="75" applyAlignment="1" pivotButton="0" quotePrefix="0" xfId="0">
      <alignment horizontal="center" vertical="center"/>
    </xf>
    <xf numFmtId="0" fontId="6" fillId="10" borderId="73" applyAlignment="1" pivotButton="0" quotePrefix="0" xfId="0">
      <alignment horizontal="center" vertical="center"/>
    </xf>
    <xf numFmtId="0" fontId="6" fillId="10" borderId="74" applyAlignment="1" pivotButton="0" quotePrefix="0" xfId="0">
      <alignment horizontal="center" vertical="center"/>
    </xf>
    <xf numFmtId="0" fontId="52" fillId="48" borderId="74" applyAlignment="1" pivotButton="0" quotePrefix="0" xfId="0">
      <alignment horizontal="center" vertical="center"/>
    </xf>
    <xf numFmtId="0" fontId="52" fillId="48" borderId="75" applyAlignment="1" pivotButton="0" quotePrefix="0" xfId="0">
      <alignment horizontal="center" vertical="center"/>
    </xf>
    <xf numFmtId="0" fontId="6" fillId="10" borderId="77" applyAlignment="1" pivotButton="0" quotePrefix="0" xfId="0">
      <alignment horizontal="center" vertical="center"/>
    </xf>
    <xf numFmtId="0" fontId="6" fillId="10" borderId="78" applyAlignment="1" pivotButton="0" quotePrefix="0" xfId="0">
      <alignment horizontal="center" vertical="center"/>
    </xf>
    <xf numFmtId="0" fontId="52" fillId="49" borderId="73" applyAlignment="1" pivotButton="0" quotePrefix="0" xfId="0">
      <alignment horizontal="center" vertical="center"/>
    </xf>
    <xf numFmtId="0" fontId="52" fillId="49" borderId="74" applyAlignment="1" pivotButton="0" quotePrefix="0" xfId="0">
      <alignment horizontal="center" vertical="center"/>
    </xf>
    <xf numFmtId="0" fontId="52" fillId="49" borderId="75" applyAlignment="1" pivotButton="0" quotePrefix="0" xfId="0">
      <alignment horizontal="center" vertical="center"/>
    </xf>
    <xf numFmtId="0" fontId="52" fillId="50" borderId="73" applyAlignment="1" pivotButton="0" quotePrefix="0" xfId="0">
      <alignment horizontal="center" vertical="center"/>
    </xf>
    <xf numFmtId="0" fontId="52" fillId="50" borderId="74" applyAlignment="1" pivotButton="0" quotePrefix="0" xfId="0">
      <alignment horizontal="center" vertical="center"/>
    </xf>
    <xf numFmtId="0" fontId="52" fillId="50" borderId="75" applyAlignment="1" pivotButton="0" quotePrefix="0" xfId="0">
      <alignment horizontal="center" vertical="center"/>
    </xf>
    <xf numFmtId="0" fontId="6" fillId="10" borderId="79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0" fontId="6" fillId="10" borderId="53" applyAlignment="1" pivotButton="0" quotePrefix="0" xfId="0">
      <alignment horizontal="center" vertical="center"/>
    </xf>
    <xf numFmtId="0" fontId="6" fillId="10" borderId="56" applyAlignment="1" pivotButton="0" quotePrefix="0" xfId="0">
      <alignment horizontal="center" vertical="center"/>
    </xf>
    <xf numFmtId="0" fontId="15" fillId="10" borderId="57" applyAlignment="1" pivotButton="0" quotePrefix="0" xfId="0">
      <alignment horizontal="center" vertical="center"/>
    </xf>
    <xf numFmtId="0" fontId="52" fillId="48" borderId="73" applyAlignment="1" pivotButton="0" quotePrefix="0" xfId="0">
      <alignment horizontal="center" vertical="center"/>
    </xf>
    <xf numFmtId="0" fontId="52" fillId="45" borderId="81" applyAlignment="1" pivotButton="0" quotePrefix="0" xfId="0">
      <alignment horizontal="center" vertical="center"/>
    </xf>
    <xf numFmtId="0" fontId="52" fillId="46" borderId="82" applyAlignment="1" pivotButton="0" quotePrefix="0" xfId="0">
      <alignment horizontal="center" vertical="center"/>
    </xf>
    <xf numFmtId="0" fontId="52" fillId="47" borderId="81" applyAlignment="1" pivotButton="0" quotePrefix="0" xfId="0">
      <alignment horizontal="center" vertical="center"/>
    </xf>
    <xf numFmtId="0" fontId="52" fillId="48" borderId="81" applyAlignment="1" pivotButton="0" quotePrefix="0" xfId="0">
      <alignment horizontal="center" vertical="center"/>
    </xf>
    <xf numFmtId="0" fontId="6" fillId="10" borderId="82" applyAlignment="1" pivotButton="0" quotePrefix="0" xfId="0">
      <alignment horizontal="center" vertical="center"/>
    </xf>
    <xf numFmtId="0" fontId="52" fillId="49" borderId="81" applyAlignment="1" pivotButton="0" quotePrefix="0" xfId="0">
      <alignment horizontal="center" vertical="center"/>
    </xf>
    <xf numFmtId="0" fontId="6" fillId="10" borderId="81" applyAlignment="1" pivotButton="0" quotePrefix="0" xfId="0">
      <alignment horizontal="center" vertical="center"/>
    </xf>
    <xf numFmtId="0" fontId="6" fillId="10" borderId="54" applyAlignment="1" pivotButton="0" quotePrefix="0" xfId="0">
      <alignment horizontal="center" vertical="center"/>
    </xf>
    <xf numFmtId="0" fontId="52" fillId="50" borderId="81" applyAlignment="1" pivotButton="0" quotePrefix="0" xfId="0">
      <alignment horizontal="center" vertical="center"/>
    </xf>
    <xf numFmtId="0" fontId="6" fillId="10" borderId="83" applyAlignment="1" pivotButton="0" quotePrefix="0" xfId="0">
      <alignment horizontal="center" vertical="center"/>
    </xf>
    <xf numFmtId="0" fontId="6" fillId="10" borderId="84" applyAlignment="1" pivotButton="0" quotePrefix="0" xfId="0">
      <alignment horizontal="center" vertical="center"/>
    </xf>
    <xf numFmtId="0" fontId="6" fillId="10" borderId="85" applyAlignment="1" pivotButton="0" quotePrefix="0" xfId="0">
      <alignment horizontal="center" vertical="center"/>
    </xf>
    <xf numFmtId="0" fontId="6" fillId="10" borderId="86" applyAlignment="1" pivotButton="0" quotePrefix="0" xfId="0">
      <alignment horizontal="center" vertical="center"/>
    </xf>
    <xf numFmtId="0" fontId="53" fillId="10" borderId="38" applyAlignment="1" pivotButton="0" quotePrefix="0" xfId="0">
      <alignment horizontal="center" vertical="center"/>
    </xf>
    <xf numFmtId="0" fontId="53" fillId="10" borderId="62" applyAlignment="1" pivotButton="0" quotePrefix="0" xfId="0">
      <alignment horizontal="center" vertical="center"/>
    </xf>
    <xf numFmtId="0" fontId="15" fillId="52" borderId="87" applyAlignment="1" pivotButton="0" quotePrefix="0" xfId="0">
      <alignment horizontal="center" vertical="center" shrinkToFit="1"/>
    </xf>
    <xf numFmtId="0" fontId="0" fillId="51" borderId="87" applyAlignment="1" pivotButton="0" quotePrefix="0" xfId="0">
      <alignment vertical="center"/>
    </xf>
    <xf numFmtId="0" fontId="0" fillId="51" borderId="88" applyAlignment="1" pivotButton="0" quotePrefix="0" xfId="0">
      <alignment vertical="center"/>
    </xf>
    <xf numFmtId="0" fontId="15" fillId="53" borderId="87" applyAlignment="1" pivotButton="0" quotePrefix="0" xfId="0">
      <alignment horizontal="center" vertical="center" shrinkToFit="1"/>
    </xf>
    <xf numFmtId="0" fontId="15" fillId="54" borderId="87" applyAlignment="1" pivotButton="0" quotePrefix="0" xfId="0">
      <alignment horizontal="center" vertical="center" shrinkToFit="1"/>
    </xf>
    <xf numFmtId="0" fontId="15" fillId="51" borderId="87" applyAlignment="1" pivotButton="0" quotePrefix="0" xfId="0">
      <alignment horizontal="center" vertical="center" shrinkToFit="1"/>
    </xf>
    <xf numFmtId="0" fontId="15" fillId="60" borderId="87" applyAlignment="1" pivotButton="0" quotePrefix="0" xfId="0">
      <alignment horizontal="center" vertical="center" shrinkToFit="1"/>
    </xf>
    <xf numFmtId="0" fontId="15" fillId="61" borderId="87" applyAlignment="1" pivotButton="0" quotePrefix="0" xfId="0">
      <alignment horizontal="center" vertical="center" shrinkToFit="1"/>
    </xf>
    <xf numFmtId="0" fontId="40" fillId="4" borderId="89" applyAlignment="1" pivotButton="0" quotePrefix="0" xfId="0">
      <alignment horizontal="center" vertical="center"/>
    </xf>
    <xf numFmtId="0" fontId="15" fillId="52" borderId="90" applyAlignment="1" pivotButton="0" quotePrefix="0" xfId="0">
      <alignment horizontal="center" vertical="center" shrinkToFit="1"/>
    </xf>
    <xf numFmtId="0" fontId="0" fillId="51" borderId="90" applyAlignment="1" pivotButton="0" quotePrefix="0" xfId="0">
      <alignment vertical="center"/>
    </xf>
    <xf numFmtId="0" fontId="0" fillId="51" borderId="91" applyAlignment="1" pivotButton="0" quotePrefix="0" xfId="0">
      <alignment vertical="center"/>
    </xf>
    <xf numFmtId="0" fontId="15" fillId="53" borderId="90" applyAlignment="1" pivotButton="0" quotePrefix="0" xfId="0">
      <alignment horizontal="center" vertical="center" shrinkToFit="1"/>
    </xf>
    <xf numFmtId="0" fontId="15" fillId="54" borderId="90" applyAlignment="1" pivotButton="0" quotePrefix="0" xfId="0">
      <alignment horizontal="center" vertical="center" shrinkToFit="1"/>
    </xf>
    <xf numFmtId="0" fontId="15" fillId="51" borderId="90" applyAlignment="1" pivotButton="0" quotePrefix="0" xfId="0">
      <alignment horizontal="center" vertical="center" shrinkToFit="1"/>
    </xf>
    <xf numFmtId="0" fontId="15" fillId="55" borderId="90" applyAlignment="1" pivotButton="0" quotePrefix="0" xfId="0">
      <alignment horizontal="center" vertical="center" shrinkToFit="1"/>
    </xf>
    <xf numFmtId="0" fontId="15" fillId="56" borderId="90" applyAlignment="1" pivotButton="0" quotePrefix="0" xfId="0">
      <alignment horizontal="center" vertical="center" shrinkToFit="1"/>
    </xf>
    <xf numFmtId="0" fontId="15" fillId="57" borderId="90" applyAlignment="1" pivotButton="0" quotePrefix="0" xfId="0">
      <alignment horizontal="center" vertical="center" shrinkToFit="1"/>
    </xf>
    <xf numFmtId="0" fontId="15" fillId="58" borderId="90" applyAlignment="1" pivotButton="0" quotePrefix="0" xfId="0">
      <alignment horizontal="center" vertical="center" shrinkToFit="1"/>
    </xf>
    <xf numFmtId="0" fontId="15" fillId="59" borderId="90" applyAlignment="1" pivotButton="0" quotePrefix="0" xfId="0">
      <alignment horizontal="center" vertical="center" shrinkToFit="1"/>
    </xf>
    <xf numFmtId="0" fontId="15" fillId="60" borderId="90" applyAlignment="1" pivotButton="0" quotePrefix="0" xfId="0">
      <alignment horizontal="center" vertical="center" shrinkToFit="1"/>
    </xf>
    <xf numFmtId="0" fontId="15" fillId="61" borderId="90" applyAlignment="1" pivotButton="0" quotePrefix="0" xfId="0">
      <alignment horizontal="center" vertical="center" shrinkToFit="1"/>
    </xf>
    <xf numFmtId="0" fontId="15" fillId="62" borderId="90" applyAlignment="1" pivotButton="0" quotePrefix="0" xfId="0">
      <alignment horizontal="center" vertical="center" shrinkToFit="1"/>
    </xf>
    <xf numFmtId="0" fontId="15" fillId="63" borderId="90" applyAlignment="1" pivotButton="0" quotePrefix="0" xfId="0">
      <alignment horizontal="center" vertical="center" shrinkToFit="1"/>
    </xf>
    <xf numFmtId="0" fontId="0" fillId="51" borderId="92" applyAlignment="1" pivotButton="0" quotePrefix="0" xfId="0">
      <alignment vertical="center"/>
    </xf>
    <xf numFmtId="0" fontId="40" fillId="4" borderId="93" applyAlignment="1" pivotButton="0" quotePrefix="0" xfId="0">
      <alignment horizontal="center" vertical="center"/>
    </xf>
    <xf numFmtId="0" fontId="15" fillId="52" borderId="94" applyAlignment="1" pivotButton="0" quotePrefix="0" xfId="0">
      <alignment horizontal="center" vertical="center" shrinkToFit="1"/>
    </xf>
    <xf numFmtId="0" fontId="0" fillId="51" borderId="94" applyAlignment="1" pivotButton="0" quotePrefix="0" xfId="0">
      <alignment vertical="center"/>
    </xf>
    <xf numFmtId="0" fontId="0" fillId="51" borderId="95" applyAlignment="1" pivotButton="0" quotePrefix="0" xfId="0">
      <alignment vertical="center"/>
    </xf>
    <xf numFmtId="0" fontId="15" fillId="53" borderId="94" applyAlignment="1" pivotButton="0" quotePrefix="0" xfId="0">
      <alignment horizontal="center" vertical="center" shrinkToFit="1"/>
    </xf>
    <xf numFmtId="0" fontId="15" fillId="54" borderId="94" applyAlignment="1" pivotButton="0" quotePrefix="0" xfId="0">
      <alignment horizontal="center" vertical="center" shrinkToFit="1"/>
    </xf>
    <xf numFmtId="0" fontId="15" fillId="51" borderId="94" applyAlignment="1" pivotButton="0" quotePrefix="0" xfId="0">
      <alignment horizontal="center" vertical="center" shrinkToFit="1"/>
    </xf>
    <xf numFmtId="0" fontId="15" fillId="57" borderId="94" applyAlignment="1" pivotButton="0" quotePrefix="0" xfId="0">
      <alignment horizontal="center" vertical="center" shrinkToFit="1"/>
    </xf>
    <xf numFmtId="0" fontId="15" fillId="58" borderId="94" applyAlignment="1" pivotButton="0" quotePrefix="0" xfId="0">
      <alignment horizontal="center" vertical="center" shrinkToFit="1"/>
    </xf>
    <xf numFmtId="0" fontId="15" fillId="59" borderId="94" applyAlignment="1" pivotButton="0" quotePrefix="0" xfId="0">
      <alignment horizontal="center" vertical="center" shrinkToFit="1"/>
    </xf>
    <xf numFmtId="0" fontId="15" fillId="60" borderId="94" applyAlignment="1" pivotButton="0" quotePrefix="0" xfId="0">
      <alignment horizontal="center" vertical="center" shrinkToFit="1"/>
    </xf>
    <xf numFmtId="0" fontId="15" fillId="61" borderId="94" applyAlignment="1" pivotButton="0" quotePrefix="0" xfId="0">
      <alignment horizontal="center" vertical="center" shrinkToFit="1"/>
    </xf>
    <xf numFmtId="0" fontId="0" fillId="51" borderId="96" applyAlignment="1" pivotButton="0" quotePrefix="0" xfId="0">
      <alignment vertical="center"/>
    </xf>
    <xf numFmtId="0" fontId="40" fillId="4" borderId="97" applyAlignment="1" pivotButton="0" quotePrefix="0" xfId="0">
      <alignment horizontal="center" vertical="center"/>
    </xf>
    <xf numFmtId="0" fontId="15" fillId="56" borderId="87" applyAlignment="1" pivotButton="0" quotePrefix="0" xfId="0">
      <alignment horizontal="center" vertical="center" shrinkToFit="1"/>
    </xf>
    <xf numFmtId="0" fontId="15" fillId="62" borderId="87" applyAlignment="1" pivotButton="0" quotePrefix="0" xfId="0">
      <alignment horizontal="center" vertical="center" shrinkToFit="1"/>
    </xf>
    <xf numFmtId="0" fontId="15" fillId="63" borderId="87" applyAlignment="1" pivotButton="0" quotePrefix="0" xfId="0">
      <alignment horizontal="center" vertical="center" shrinkToFit="1"/>
    </xf>
    <xf numFmtId="0" fontId="0" fillId="51" borderId="98" applyAlignment="1" pivotButton="0" quotePrefix="0" xfId="0">
      <alignment vertical="center"/>
    </xf>
    <xf numFmtId="0" fontId="50" fillId="51" borderId="13" applyAlignment="1" pivotButton="0" quotePrefix="0" xfId="0">
      <alignment horizontal="center" vertical="center"/>
    </xf>
    <xf numFmtId="0" fontId="50" fillId="51" borderId="99" applyAlignment="1" pivotButton="0" quotePrefix="0" xfId="0">
      <alignment horizontal="center" vertical="center"/>
    </xf>
    <xf numFmtId="0" fontId="50" fillId="51" borderId="17" applyAlignment="1" pivotButton="0" quotePrefix="0" xfId="0">
      <alignment horizontal="center" vertical="center"/>
    </xf>
    <xf numFmtId="0" fontId="54" fillId="52" borderId="101" applyAlignment="1" pivotButton="0" quotePrefix="0" xfId="0">
      <alignment horizontal="left" vertical="center" shrinkToFit="1"/>
    </xf>
    <xf numFmtId="0" fontId="0" fillId="51" borderId="101" applyAlignment="1" pivotButton="0" quotePrefix="0" xfId="0">
      <alignment vertical="center"/>
    </xf>
    <xf numFmtId="0" fontId="0" fillId="51" borderId="102" applyAlignment="1" pivotButton="0" quotePrefix="0" xfId="0">
      <alignment vertical="center"/>
    </xf>
    <xf numFmtId="0" fontId="54" fillId="53" borderId="101" applyAlignment="1" pivotButton="0" quotePrefix="0" xfId="0">
      <alignment horizontal="left" vertical="center" shrinkToFit="1"/>
    </xf>
    <xf numFmtId="0" fontId="54" fillId="54" borderId="101" applyAlignment="1" pivotButton="0" quotePrefix="0" xfId="0">
      <alignment horizontal="left" vertical="center" shrinkToFit="1"/>
    </xf>
    <xf numFmtId="0" fontId="54" fillId="55" borderId="101" applyAlignment="1" pivotButton="0" quotePrefix="0" xfId="0">
      <alignment horizontal="left" vertical="center" shrinkToFit="1"/>
    </xf>
    <xf numFmtId="0" fontId="54" fillId="56" borderId="101" applyAlignment="1" pivotButton="0" quotePrefix="0" xfId="0">
      <alignment horizontal="left" vertical="center" shrinkToFit="1"/>
    </xf>
    <xf numFmtId="0" fontId="54" fillId="57" borderId="101" applyAlignment="1" pivotButton="0" quotePrefix="0" xfId="0">
      <alignment horizontal="left" vertical="center" shrinkToFit="1"/>
    </xf>
    <xf numFmtId="0" fontId="54" fillId="58" borderId="101" applyAlignment="1" pivotButton="0" quotePrefix="0" xfId="0">
      <alignment horizontal="left" vertical="center" shrinkToFit="1"/>
    </xf>
    <xf numFmtId="0" fontId="54" fillId="59" borderId="101" applyAlignment="1" pivotButton="0" quotePrefix="0" xfId="0">
      <alignment horizontal="left" vertical="center" shrinkToFit="1"/>
    </xf>
    <xf numFmtId="0" fontId="54" fillId="60" borderId="101" applyAlignment="1" pivotButton="0" quotePrefix="0" xfId="0">
      <alignment horizontal="left" vertical="center" shrinkToFit="1"/>
    </xf>
    <xf numFmtId="0" fontId="54" fillId="61" borderId="101" applyAlignment="1" pivotButton="0" quotePrefix="0" xfId="0">
      <alignment horizontal="left" vertical="center" shrinkToFit="1"/>
    </xf>
    <xf numFmtId="0" fontId="54" fillId="62" borderId="101" applyAlignment="1" pivotButton="0" quotePrefix="0" xfId="0">
      <alignment horizontal="left" vertical="center" shrinkToFit="1"/>
    </xf>
    <xf numFmtId="0" fontId="54" fillId="63" borderId="101" applyAlignment="1" pivotButton="0" quotePrefix="0" xfId="0">
      <alignment horizontal="left" vertical="center" shrinkToFit="1"/>
    </xf>
    <xf numFmtId="0" fontId="0" fillId="51" borderId="103" applyAlignment="1" pivotButton="0" quotePrefix="0" xfId="0">
      <alignment vertical="center"/>
    </xf>
    <xf numFmtId="0" fontId="55" fillId="0" borderId="0" applyAlignment="1" pivotButton="0" quotePrefix="0" xfId="0">
      <alignment vertical="center"/>
    </xf>
    <xf numFmtId="0" fontId="55" fillId="0" borderId="104" applyAlignment="1" pivotButton="0" quotePrefix="0" xfId="0">
      <alignment horizontal="center" vertical="center"/>
    </xf>
    <xf numFmtId="0" fontId="0" fillId="0" borderId="104" applyAlignment="1" pivotButton="0" quotePrefix="0" xfId="0">
      <alignment horizontal="center" vertical="center"/>
    </xf>
    <xf numFmtId="0" fontId="0" fillId="35" borderId="104" applyAlignment="1" pivotButton="0" quotePrefix="0" xfId="0">
      <alignment horizontal="center" vertical="center"/>
    </xf>
    <xf numFmtId="0" fontId="56" fillId="0" borderId="0" applyAlignment="1" pivotButton="0" quotePrefix="0" xfId="0">
      <alignment vertical="center"/>
    </xf>
    <xf numFmtId="0" fontId="34" fillId="11" borderId="59" applyAlignment="1" pivotButton="0" quotePrefix="0" xfId="0">
      <alignment horizontal="center" vertical="center"/>
    </xf>
    <xf numFmtId="0" fontId="34" fillId="11" borderId="13" applyAlignment="1" pivotButton="0" quotePrefix="0" xfId="0">
      <alignment horizontal="center" vertical="center"/>
    </xf>
    <xf numFmtId="0" fontId="34" fillId="11" borderId="24" applyAlignment="1" pivotButton="0" quotePrefix="0" xfId="0">
      <alignment horizontal="center" vertical="center"/>
    </xf>
    <xf numFmtId="0" fontId="34" fillId="12" borderId="59" applyAlignment="1" pivotButton="0" quotePrefix="0" xfId="0">
      <alignment horizontal="center" vertical="center"/>
    </xf>
    <xf numFmtId="0" fontId="34" fillId="12" borderId="13" applyAlignment="1" pivotButton="0" quotePrefix="0" xfId="0">
      <alignment horizontal="center" vertical="center"/>
    </xf>
    <xf numFmtId="0" fontId="34" fillId="12" borderId="24" applyAlignment="1" pivotButton="0" quotePrefix="0" xfId="0">
      <alignment horizontal="center" vertical="center"/>
    </xf>
    <xf numFmtId="0" fontId="34" fillId="13" borderId="59" applyAlignment="1" pivotButton="0" quotePrefix="0" xfId="0">
      <alignment horizontal="center" vertical="center"/>
    </xf>
    <xf numFmtId="0" fontId="34" fillId="13" borderId="13" applyAlignment="1" pivotButton="0" quotePrefix="0" xfId="0">
      <alignment horizontal="center" vertical="center"/>
    </xf>
    <xf numFmtId="0" fontId="34" fillId="13" borderId="24" applyAlignment="1" pivotButton="0" quotePrefix="0" xfId="0">
      <alignment horizontal="center" vertical="center"/>
    </xf>
    <xf numFmtId="0" fontId="34" fillId="14" borderId="59" applyAlignment="1" pivotButton="0" quotePrefix="0" xfId="0">
      <alignment horizontal="center" vertical="center"/>
    </xf>
    <xf numFmtId="0" fontId="34" fillId="14" borderId="13" applyAlignment="1" pivotButton="0" quotePrefix="0" xfId="0">
      <alignment horizontal="center" vertical="center"/>
    </xf>
    <xf numFmtId="0" fontId="34" fillId="14" borderId="24" applyAlignment="1" pivotButton="0" quotePrefix="0" xfId="0">
      <alignment horizontal="center" vertical="center"/>
    </xf>
    <xf numFmtId="0" fontId="42" fillId="0" borderId="7" applyAlignment="1" pivotButton="0" quotePrefix="0" xfId="0">
      <alignment horizontal="left" vertical="center"/>
    </xf>
    <xf numFmtId="0" fontId="42" fillId="0" borderId="10" applyAlignment="1" pivotButton="0" quotePrefix="0" xfId="0">
      <alignment horizontal="left" vertical="center"/>
    </xf>
    <xf numFmtId="0" fontId="41" fillId="0" borderId="3" applyAlignment="1" pivotButton="0" quotePrefix="0" xfId="0">
      <alignment horizontal="left" vertical="center"/>
    </xf>
    <xf numFmtId="0" fontId="41" fillId="0" borderId="11" applyAlignment="1" pivotButton="0" quotePrefix="0" xfId="0">
      <alignment horizontal="left" vertical="center"/>
    </xf>
    <xf numFmtId="0" fontId="41" fillId="0" borderId="9" applyAlignment="1" pivotButton="0" quotePrefix="0" xfId="0">
      <alignment horizontal="left" vertical="center"/>
    </xf>
    <xf numFmtId="0" fontId="41" fillId="0" borderId="12" applyAlignment="1" pivotButton="0" quotePrefix="0" xfId="0">
      <alignment horizontal="left" vertical="center"/>
    </xf>
    <xf numFmtId="0" fontId="47" fillId="2" borderId="14" applyAlignment="1" pivotButton="0" quotePrefix="0" xfId="0">
      <alignment horizontal="center" vertical="center"/>
    </xf>
    <xf numFmtId="0" fontId="47" fillId="2" borderId="15" applyAlignment="1" pivotButton="0" quotePrefix="0" xfId="0">
      <alignment horizontal="center" vertical="center"/>
    </xf>
    <xf numFmtId="0" fontId="47" fillId="2" borderId="20" applyAlignment="1" pivotButton="0" quotePrefix="0" xfId="0">
      <alignment horizontal="center" vertical="center"/>
    </xf>
    <xf numFmtId="0" fontId="21" fillId="2" borderId="97" applyAlignment="1" pivotButton="0" quotePrefix="0" xfId="0">
      <alignment horizontal="center" vertical="center"/>
    </xf>
    <xf numFmtId="0" fontId="21" fillId="2" borderId="89" applyAlignment="1" pivotButton="0" quotePrefix="0" xfId="0">
      <alignment horizontal="center" vertical="center"/>
    </xf>
    <xf numFmtId="0" fontId="21" fillId="2" borderId="93" applyAlignment="1" pivotButton="0" quotePrefix="0" xfId="0">
      <alignment horizontal="center" vertical="center"/>
    </xf>
    <xf numFmtId="0" fontId="8" fillId="4" borderId="70" applyAlignment="1" pivotButton="0" quotePrefix="0" xfId="0">
      <alignment horizontal="center" vertical="center"/>
    </xf>
    <xf numFmtId="0" fontId="9" fillId="4" borderId="100" applyAlignment="1" pivotButton="0" quotePrefix="0" xfId="0">
      <alignment horizontal="center" vertical="center"/>
    </xf>
    <xf numFmtId="0" fontId="9" fillId="4" borderId="70" applyAlignment="1" pivotButton="0" quotePrefix="0" xfId="0">
      <alignment horizontal="center" vertical="center"/>
    </xf>
    <xf numFmtId="0" fontId="47" fillId="5" borderId="0" applyAlignment="1" pivotButton="0" quotePrefix="0" xfId="0">
      <alignment horizontal="left" vertical="center"/>
    </xf>
    <xf numFmtId="0" fontId="35" fillId="14" borderId="0" applyAlignment="1" pivotButton="0" quotePrefix="0" xfId="0">
      <alignment horizontal="center" vertical="center" wrapText="1"/>
    </xf>
    <xf numFmtId="0" fontId="35" fillId="14" borderId="51" applyAlignment="1" pivotButton="0" quotePrefix="0" xfId="0">
      <alignment horizontal="center" vertical="center" wrapText="1"/>
    </xf>
    <xf numFmtId="0" fontId="35" fillId="12" borderId="0" applyAlignment="1" pivotButton="0" quotePrefix="0" xfId="0">
      <alignment horizontal="center" vertical="center" wrapText="1"/>
    </xf>
    <xf numFmtId="0" fontId="35" fillId="12" borderId="51" applyAlignment="1" pivotButton="0" quotePrefix="0" xfId="0">
      <alignment horizontal="center" vertical="center" wrapText="1"/>
    </xf>
    <xf numFmtId="0" fontId="35" fillId="9" borderId="30" applyAlignment="1" pivotButton="0" quotePrefix="0" xfId="0">
      <alignment horizontal="center" vertical="center" wrapText="1"/>
    </xf>
    <xf numFmtId="0" fontId="35" fillId="9" borderId="31" applyAlignment="1" pivotButton="0" quotePrefix="0" xfId="0">
      <alignment horizontal="center" vertical="center" wrapText="1"/>
    </xf>
    <xf numFmtId="0" fontId="21" fillId="2" borderId="37" applyAlignment="1" pivotButton="0" quotePrefix="0" xfId="0">
      <alignment horizontal="center" vertical="center"/>
    </xf>
    <xf numFmtId="0" fontId="21" fillId="2" borderId="38" applyAlignment="1" pivotButton="0" quotePrefix="0" xfId="0">
      <alignment horizontal="center" vertical="center"/>
    </xf>
    <xf numFmtId="0" fontId="49" fillId="39" borderId="67" applyAlignment="1" pivotButton="0" quotePrefix="0" xfId="0">
      <alignment horizontal="center" vertical="center" shrinkToFit="1"/>
    </xf>
    <xf numFmtId="0" fontId="49" fillId="40" borderId="76" applyAlignment="1" pivotButton="0" quotePrefix="0" xfId="0">
      <alignment horizontal="center" vertical="center" shrinkToFit="1"/>
    </xf>
    <xf numFmtId="0" fontId="49" fillId="40" borderId="0" applyAlignment="1" pivotButton="0" quotePrefix="0" xfId="0">
      <alignment horizontal="center" vertical="center" shrinkToFit="1"/>
    </xf>
    <xf numFmtId="0" fontId="49" fillId="40" borderId="51" applyAlignment="1" pivotButton="0" quotePrefix="0" xfId="0">
      <alignment horizontal="center" vertical="center" shrinkToFit="1"/>
    </xf>
    <xf numFmtId="0" fontId="21" fillId="6" borderId="15" applyAlignment="1" pivotButton="0" quotePrefix="0" xfId="0">
      <alignment horizontal="center" vertical="center" wrapText="1"/>
    </xf>
    <xf numFmtId="0" fontId="21" fillId="6" borderId="25" applyAlignment="1" pivotButton="0" quotePrefix="0" xfId="0">
      <alignment horizontal="center" vertical="center" wrapText="1"/>
    </xf>
    <xf numFmtId="0" fontId="49" fillId="41" borderId="66" applyAlignment="1" pivotButton="0" quotePrefix="0" xfId="0">
      <alignment horizontal="center" vertical="center" shrinkToFit="1"/>
    </xf>
    <xf numFmtId="0" fontId="49" fillId="41" borderId="67" applyAlignment="1" pivotButton="0" quotePrefix="0" xfId="0">
      <alignment horizontal="center" vertical="center" shrinkToFit="1"/>
    </xf>
    <xf numFmtId="0" fontId="49" fillId="41" borderId="68" applyAlignment="1" pivotButton="0" quotePrefix="0" xfId="0">
      <alignment horizontal="center" vertical="center" shrinkToFit="1"/>
    </xf>
    <xf numFmtId="0" fontId="34" fillId="9" borderId="13" applyAlignment="1" pivotButton="0" quotePrefix="0" xfId="0">
      <alignment horizontal="center" vertical="center"/>
    </xf>
    <xf numFmtId="0" fontId="34" fillId="9" borderId="24" applyAlignment="1" pivotButton="0" quotePrefix="0" xfId="0">
      <alignment horizontal="center" vertical="center"/>
    </xf>
    <xf numFmtId="0" fontId="21" fillId="7" borderId="15" applyAlignment="1" pivotButton="0" quotePrefix="0" xfId="0">
      <alignment horizontal="center" vertical="center" wrapText="1"/>
    </xf>
    <xf numFmtId="0" fontId="21" fillId="7" borderId="25" applyAlignment="1" pivotButton="0" quotePrefix="0" xfId="0">
      <alignment horizontal="center" vertical="center" wrapText="1"/>
    </xf>
    <xf numFmtId="0" fontId="35" fillId="8" borderId="71" applyAlignment="1" pivotButton="0" quotePrefix="0" xfId="0">
      <alignment horizontal="center" vertical="center" wrapText="1"/>
    </xf>
    <xf numFmtId="0" fontId="21" fillId="8" borderId="71" applyAlignment="1" pivotButton="0" quotePrefix="0" xfId="0">
      <alignment horizontal="center" vertical="center" wrapText="1"/>
    </xf>
    <xf numFmtId="0" fontId="21" fillId="8" borderId="72" applyAlignment="1" pivotButton="0" quotePrefix="0" xfId="0">
      <alignment horizontal="center" vertical="center" wrapText="1"/>
    </xf>
    <xf numFmtId="0" fontId="21" fillId="2" borderId="15" applyAlignment="1" pivotButton="0" quotePrefix="0" xfId="0">
      <alignment horizontal="center" vertical="center" wrapText="1"/>
    </xf>
    <xf numFmtId="0" fontId="49" fillId="43" borderId="67" applyAlignment="1" pivotButton="0" quotePrefix="0" xfId="0">
      <alignment horizontal="center" vertical="center" shrinkToFit="1"/>
    </xf>
    <xf numFmtId="0" fontId="49" fillId="43" borderId="68" applyAlignment="1" pivotButton="0" quotePrefix="0" xfId="0">
      <alignment horizontal="center" vertical="center" shrinkToFit="1"/>
    </xf>
    <xf numFmtId="0" fontId="49" fillId="44" borderId="64" applyAlignment="1" pivotButton="0" quotePrefix="0" xfId="0">
      <alignment horizontal="center" vertical="center" shrinkToFit="1"/>
    </xf>
    <xf numFmtId="0" fontId="49" fillId="44" borderId="63" applyAlignment="1" pivotButton="0" quotePrefix="0" xfId="0">
      <alignment horizontal="center" vertical="center" shrinkToFit="1"/>
    </xf>
    <xf numFmtId="0" fontId="49" fillId="44" borderId="65" applyAlignment="1" pivotButton="0" quotePrefix="0" xfId="0">
      <alignment horizontal="center" vertical="center" shrinkToFit="1"/>
    </xf>
    <xf numFmtId="0" fontId="49" fillId="44" borderId="69" applyAlignment="1" pivotButton="0" quotePrefix="0" xfId="0">
      <alignment horizontal="center" vertical="center" shrinkToFit="1"/>
    </xf>
    <xf numFmtId="0" fontId="43" fillId="2" borderId="14" applyAlignment="1" pivotButton="0" quotePrefix="0" xfId="0">
      <alignment horizontal="center" vertical="center" wrapText="1"/>
    </xf>
    <xf numFmtId="0" fontId="43" fillId="2" borderId="15" applyAlignment="1" pivotButton="0" quotePrefix="0" xfId="0">
      <alignment horizontal="center" vertical="center" wrapText="1"/>
    </xf>
    <xf numFmtId="0" fontId="43" fillId="2" borderId="13" applyAlignment="1" pivotButton="0" quotePrefix="0" xfId="0">
      <alignment horizontal="center" vertical="center" wrapText="1"/>
    </xf>
    <xf numFmtId="0" fontId="43" fillId="2" borderId="0" applyAlignment="1" pivotButton="0" quotePrefix="0" xfId="0">
      <alignment horizontal="center" vertical="center" wrapText="1"/>
    </xf>
    <xf numFmtId="0" fontId="44" fillId="3" borderId="17" applyAlignment="1" pivotButton="0" quotePrefix="0" xfId="0">
      <alignment horizontal="center" vertical="center"/>
    </xf>
    <xf numFmtId="0" fontId="44" fillId="3" borderId="18" applyAlignment="1" pivotButton="0" quotePrefix="0" xfId="0">
      <alignment horizontal="center" vertical="center"/>
    </xf>
    <xf numFmtId="0" fontId="45" fillId="4" borderId="15" applyAlignment="1" pivotButton="0" quotePrefix="0" xfId="0">
      <alignment horizontal="left" vertical="center"/>
    </xf>
    <xf numFmtId="0" fontId="4" fillId="4" borderId="0" applyAlignment="1" pivotButton="0" quotePrefix="0" xfId="0">
      <alignment horizontal="left" vertical="center" wrapText="1"/>
    </xf>
    <xf numFmtId="0" fontId="4" fillId="4" borderId="18" applyAlignment="1" pivotButton="0" quotePrefix="0" xfId="0">
      <alignment horizontal="left" vertical="center" wrapText="1"/>
    </xf>
    <xf numFmtId="0" fontId="46" fillId="4" borderId="16" applyAlignment="1" pivotButton="0" quotePrefix="0" xfId="0">
      <alignment horizontal="left" vertical="center" wrapText="1"/>
    </xf>
    <xf numFmtId="0" fontId="46" fillId="4" borderId="15" applyAlignment="1" pivotButton="0" quotePrefix="0" xfId="0">
      <alignment horizontal="left" vertical="center" wrapText="1"/>
    </xf>
    <xf numFmtId="0" fontId="46" fillId="4" borderId="20" applyAlignment="1" pivotButton="0" quotePrefix="0" xfId="0">
      <alignment horizontal="left" vertical="center" wrapText="1"/>
    </xf>
    <xf numFmtId="0" fontId="46" fillId="4" borderId="1" applyAlignment="1" pivotButton="0" quotePrefix="0" xfId="0">
      <alignment horizontal="left" vertical="center" wrapText="1"/>
    </xf>
    <xf numFmtId="0" fontId="46" fillId="4" borderId="0" applyAlignment="1" pivotButton="0" quotePrefix="0" xfId="0">
      <alignment horizontal="left" vertical="center" wrapText="1"/>
    </xf>
    <xf numFmtId="0" fontId="46" fillId="4" borderId="21" applyAlignment="1" pivotButton="0" quotePrefix="0" xfId="0">
      <alignment horizontal="left" vertical="center" wrapText="1"/>
    </xf>
    <xf numFmtId="0" fontId="46" fillId="4" borderId="19" applyAlignment="1" pivotButton="0" quotePrefix="0" xfId="0">
      <alignment horizontal="left" vertical="center" wrapText="1"/>
    </xf>
    <xf numFmtId="0" fontId="46" fillId="4" borderId="18" applyAlignment="1" pivotButton="0" quotePrefix="0" xfId="0">
      <alignment horizontal="left" vertical="center" wrapText="1"/>
    </xf>
    <xf numFmtId="0" fontId="46" fillId="4" borderId="22" applyAlignment="1" pivotButton="0" quotePrefix="0" xfId="0">
      <alignment horizontal="left" vertical="center" wrapText="1"/>
    </xf>
    <xf numFmtId="0" fontId="35" fillId="13" borderId="0" applyAlignment="1" pivotButton="0" quotePrefix="0" xfId="0">
      <alignment horizontal="center" vertical="center" wrapText="1"/>
    </xf>
    <xf numFmtId="0" fontId="35" fillId="13" borderId="51" applyAlignment="1" pivotButton="0" quotePrefix="0" xfId="0">
      <alignment horizontal="center" vertical="center" wrapText="1"/>
    </xf>
    <xf numFmtId="0" fontId="35" fillId="11" borderId="0" applyAlignment="1" pivotButton="0" quotePrefix="0" xfId="0">
      <alignment horizontal="center" vertical="center" wrapText="1"/>
    </xf>
    <xf numFmtId="0" fontId="49" fillId="42" borderId="64" applyAlignment="1" pivotButton="0" quotePrefix="0" xfId="0">
      <alignment horizontal="center" vertical="center" shrinkToFit="1"/>
    </xf>
    <xf numFmtId="0" fontId="49" fillId="42" borderId="63" applyAlignment="1" pivotButton="0" quotePrefix="0" xfId="0">
      <alignment horizontal="center" vertical="center" shrinkToFit="1"/>
    </xf>
    <xf numFmtId="0" fontId="49" fillId="42" borderId="69" applyAlignment="1" pivotButton="0" quotePrefix="0" xfId="0">
      <alignment horizontal="center" vertical="center" shrinkToFit="1"/>
    </xf>
    <xf numFmtId="0" fontId="49" fillId="42" borderId="67" applyAlignment="1" pivotButton="0" quotePrefix="0" xfId="0">
      <alignment horizontal="center" vertical="center" shrinkToFit="1"/>
    </xf>
    <xf numFmtId="0" fontId="49" fillId="42" borderId="68" applyAlignment="1" pivotButton="0" quotePrefix="0" xfId="0">
      <alignment horizontal="center" vertical="center" shrinkToFit="1"/>
    </xf>
    <xf numFmtId="0" fontId="35" fillId="11" borderId="51" applyAlignment="1" pivotButton="0" quotePrefix="0" xfId="0">
      <alignment horizontal="center" vertical="center" wrapText="1"/>
    </xf>
    <xf numFmtId="0" fontId="49" fillId="39" borderId="66" applyAlignment="1" pivotButton="0" quotePrefix="0" xfId="0">
      <alignment horizontal="center" vertical="center" shrinkToFit="1"/>
    </xf>
    <xf numFmtId="0" fontId="49" fillId="39" borderId="68" applyAlignment="1" pivotButton="0" quotePrefix="0" xfId="0">
      <alignment horizontal="center" vertical="center" shrinkToFit="1"/>
    </xf>
    <xf numFmtId="0" fontId="10" fillId="10" borderId="67" applyAlignment="1" pivotButton="0" quotePrefix="0" xfId="0">
      <alignment horizontal="center" vertical="center"/>
    </xf>
    <xf numFmtId="0" fontId="11" fillId="10" borderId="67" applyAlignment="1" pivotButton="0" quotePrefix="0" xfId="0">
      <alignment horizontal="center" vertical="center"/>
    </xf>
    <xf numFmtId="0" fontId="11" fillId="10" borderId="68" applyAlignment="1" pivotButton="0" quotePrefix="0" xfId="0">
      <alignment horizontal="center" vertical="center"/>
    </xf>
    <xf numFmtId="0" fontId="35" fillId="16" borderId="0" applyAlignment="1" pivotButton="0" quotePrefix="0" xfId="0">
      <alignment horizontal="center" vertical="center" wrapText="1"/>
    </xf>
    <xf numFmtId="0" fontId="35" fillId="16" borderId="51" applyAlignment="1" pivotButton="0" quotePrefix="0" xfId="0">
      <alignment horizontal="center" vertical="center" wrapText="1"/>
    </xf>
    <xf numFmtId="0" fontId="35" fillId="15" borderId="0" applyAlignment="1" pivotButton="0" quotePrefix="0" xfId="0">
      <alignment horizontal="center" vertical="center" wrapText="1"/>
    </xf>
    <xf numFmtId="0" fontId="35" fillId="15" borderId="51" applyAlignment="1" pivotButton="0" quotePrefix="0" xfId="0">
      <alignment horizontal="center" vertical="center" wrapText="1"/>
    </xf>
    <xf numFmtId="0" fontId="49" fillId="43" borderId="66" applyAlignment="1" pivotButton="0" quotePrefix="0" xfId="0">
      <alignment horizontal="center" vertical="center" shrinkToFit="1"/>
    </xf>
    <xf numFmtId="0" fontId="8" fillId="0" borderId="0" applyAlignment="1" pivotButton="0" quotePrefix="0" xfId="0">
      <alignment horizontal="left" vertical="center" wrapText="1"/>
    </xf>
    <xf numFmtId="0" fontId="51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8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34" fillId="19" borderId="61" applyAlignment="1" pivotButton="0" quotePrefix="0" xfId="0">
      <alignment horizontal="center" vertical="center"/>
    </xf>
    <xf numFmtId="0" fontId="34" fillId="19" borderId="80" applyAlignment="1" pivotButton="0" quotePrefix="0" xfId="0">
      <alignment horizontal="center" vertical="center"/>
    </xf>
    <xf numFmtId="0" fontId="34" fillId="19" borderId="13" applyAlignment="1" pivotButton="0" quotePrefix="0" xfId="0">
      <alignment horizontal="center" vertical="center"/>
    </xf>
    <xf numFmtId="0" fontId="34" fillId="19" borderId="24" applyAlignment="1" pivotButton="0" quotePrefix="0" xfId="0">
      <alignment horizontal="center" vertical="center"/>
    </xf>
    <xf numFmtId="0" fontId="34" fillId="20" borderId="61" applyAlignment="1" pivotButton="0" quotePrefix="0" xfId="0">
      <alignment horizontal="center" vertical="center"/>
    </xf>
    <xf numFmtId="0" fontId="34" fillId="20" borderId="80" applyAlignment="1" pivotButton="0" quotePrefix="0" xfId="0">
      <alignment horizontal="center" vertical="center"/>
    </xf>
    <xf numFmtId="0" fontId="34" fillId="20" borderId="13" applyAlignment="1" pivotButton="0" quotePrefix="0" xfId="0">
      <alignment horizontal="center" vertical="center"/>
    </xf>
    <xf numFmtId="0" fontId="34" fillId="20" borderId="24" applyAlignment="1" pivotButton="0" quotePrefix="0" xfId="0">
      <alignment horizontal="center" vertical="center"/>
    </xf>
    <xf numFmtId="0" fontId="34" fillId="21" borderId="59" applyAlignment="1" pivotButton="0" quotePrefix="0" xfId="0">
      <alignment horizontal="center" vertical="center"/>
    </xf>
    <xf numFmtId="0" fontId="34" fillId="21" borderId="13" applyAlignment="1" pivotButton="0" quotePrefix="0" xfId="0">
      <alignment horizontal="center" vertical="center"/>
    </xf>
    <xf numFmtId="0" fontId="34" fillId="21" borderId="17" applyAlignment="1" pivotButton="0" quotePrefix="0" xfId="0">
      <alignment horizontal="center" vertical="center"/>
    </xf>
    <xf numFmtId="0" fontId="34" fillId="15" borderId="59" applyAlignment="1" pivotButton="0" quotePrefix="0" xfId="0">
      <alignment horizontal="center" vertical="center"/>
    </xf>
    <xf numFmtId="0" fontId="34" fillId="15" borderId="13" applyAlignment="1" pivotButton="0" quotePrefix="0" xfId="0">
      <alignment horizontal="center" vertical="center"/>
    </xf>
    <xf numFmtId="0" fontId="34" fillId="15" borderId="24" applyAlignment="1" pivotButton="0" quotePrefix="0" xfId="0">
      <alignment horizontal="center" vertical="center"/>
    </xf>
    <xf numFmtId="0" fontId="34" fillId="16" borderId="59" applyAlignment="1" pivotButton="0" quotePrefix="0" xfId="0">
      <alignment horizontal="center" vertical="center"/>
    </xf>
    <xf numFmtId="0" fontId="34" fillId="16" borderId="13" applyAlignment="1" pivotButton="0" quotePrefix="0" xfId="0">
      <alignment horizontal="center" vertical="center"/>
    </xf>
    <xf numFmtId="0" fontId="34" fillId="16" borderId="24" applyAlignment="1" pivotButton="0" quotePrefix="0" xfId="0">
      <alignment horizontal="center" vertical="center"/>
    </xf>
    <xf numFmtId="0" fontId="34" fillId="17" borderId="61" applyAlignment="1" pivotButton="0" quotePrefix="0" xfId="0">
      <alignment horizontal="center" vertical="center"/>
    </xf>
    <xf numFmtId="0" fontId="34" fillId="17" borderId="80" applyAlignment="1" pivotButton="0" quotePrefix="0" xfId="0">
      <alignment horizontal="center" vertical="center"/>
    </xf>
    <xf numFmtId="0" fontId="34" fillId="17" borderId="13" applyAlignment="1" pivotButton="0" quotePrefix="0" xfId="0">
      <alignment horizontal="center" vertical="center"/>
    </xf>
    <xf numFmtId="0" fontId="34" fillId="17" borderId="24" applyAlignment="1" pivotButton="0" quotePrefix="0" xfId="0">
      <alignment horizontal="center" vertical="center"/>
    </xf>
    <xf numFmtId="0" fontId="34" fillId="18" borderId="61" applyAlignment="1" pivotButton="0" quotePrefix="0" xfId="0">
      <alignment horizontal="center" vertical="center"/>
    </xf>
    <xf numFmtId="0" fontId="34" fillId="18" borderId="80" applyAlignment="1" pivotButton="0" quotePrefix="0" xfId="0">
      <alignment horizontal="center" vertical="center"/>
    </xf>
    <xf numFmtId="0" fontId="34" fillId="18" borderId="13" applyAlignment="1" pivotButton="0" quotePrefix="0" xfId="0">
      <alignment horizontal="center" vertical="center"/>
    </xf>
    <xf numFmtId="0" fontId="34" fillId="18" borderId="24" applyAlignment="1" pivotButton="0" quotePrefix="0" xfId="0">
      <alignment horizontal="center" vertical="center"/>
    </xf>
    <xf numFmtId="0" fontId="1" fillId="35" borderId="3" applyAlignment="1" pivotButton="0" quotePrefix="0" xfId="0">
      <alignment horizontal="left" vertical="center"/>
    </xf>
    <xf numFmtId="0" fontId="1" fillId="35" borderId="11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0" fontId="23" fillId="5" borderId="14" applyAlignment="1" pivotButton="0" quotePrefix="0" xfId="0">
      <alignment horizontal="left" vertical="center"/>
    </xf>
    <xf numFmtId="0" fontId="23" fillId="5" borderId="15" applyAlignment="1" pivotButton="0" quotePrefix="0" xfId="0">
      <alignment horizontal="left" vertical="center"/>
    </xf>
    <xf numFmtId="0" fontId="23" fillId="5" borderId="20" applyAlignment="1" pivotButton="0" quotePrefix="0" xfId="0">
      <alignment horizontal="left" vertical="center"/>
    </xf>
    <xf numFmtId="0" fontId="3" fillId="4" borderId="3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3" fillId="5" borderId="0" applyAlignment="1" pivotButton="0" quotePrefix="0" xfId="0">
      <alignment horizontal="left" vertical="center"/>
    </xf>
    <xf numFmtId="0" fontId="16" fillId="35" borderId="36" applyAlignment="1" pivotButton="0" quotePrefix="0" xfId="0">
      <alignment horizontal="left" vertical="top" wrapText="1"/>
    </xf>
    <xf numFmtId="0" fontId="16" fillId="35" borderId="30" applyAlignment="1" pivotButton="0" quotePrefix="0" xfId="0">
      <alignment horizontal="left" vertical="top" wrapText="1"/>
    </xf>
    <xf numFmtId="0" fontId="16" fillId="35" borderId="2" applyAlignment="1" pivotButton="0" quotePrefix="0" xfId="0">
      <alignment horizontal="left" vertical="top" wrapText="1"/>
    </xf>
    <xf numFmtId="0" fontId="16" fillId="35" borderId="1" applyAlignment="1" pivotButton="0" quotePrefix="0" xfId="0">
      <alignment horizontal="left" vertical="top" wrapText="1"/>
    </xf>
    <xf numFmtId="0" fontId="16" fillId="35" borderId="0" applyAlignment="1" pivotButton="0" quotePrefix="0" xfId="0">
      <alignment horizontal="left" vertical="top" wrapText="1"/>
    </xf>
    <xf numFmtId="0" fontId="16" fillId="35" borderId="41" applyAlignment="1" pivotButton="0" quotePrefix="0" xfId="0">
      <alignment horizontal="left" vertical="top" wrapText="1"/>
    </xf>
    <xf numFmtId="0" fontId="16" fillId="35" borderId="39" applyAlignment="1" pivotButton="0" quotePrefix="0" xfId="0">
      <alignment horizontal="left" vertical="top" wrapText="1"/>
    </xf>
    <xf numFmtId="0" fontId="16" fillId="35" borderId="40" applyAlignment="1" pivotButton="0" quotePrefix="0" xfId="0">
      <alignment horizontal="left" vertical="top" wrapText="1"/>
    </xf>
    <xf numFmtId="0" fontId="16" fillId="35" borderId="42" applyAlignment="1" pivotButton="0" quotePrefix="0" xfId="0">
      <alignment horizontal="left" vertical="top" wrapText="1"/>
    </xf>
    <xf numFmtId="0" fontId="1" fillId="35" borderId="9" applyAlignment="1" pivotButton="0" quotePrefix="0" xfId="0">
      <alignment horizontal="left" vertical="center"/>
    </xf>
    <xf numFmtId="0" fontId="1" fillId="35" borderId="12" applyAlignment="1" pivotButton="0" quotePrefix="0" xfId="0">
      <alignment horizontal="left" vertical="center"/>
    </xf>
    <xf numFmtId="0" fontId="3" fillId="4" borderId="5" applyAlignment="1" pivotButton="0" quotePrefix="0" xfId="0">
      <alignment horizontal="center" vertical="center"/>
    </xf>
    <xf numFmtId="0" fontId="17" fillId="0" borderId="3" applyAlignment="1" pivotButton="0" quotePrefix="0" xfId="0">
      <alignment horizontal="left" vertical="center"/>
    </xf>
    <xf numFmtId="0" fontId="16" fillId="0" borderId="3" applyAlignment="1" pivotButton="0" quotePrefix="0" xfId="0">
      <alignment horizontal="left" vertical="center"/>
    </xf>
    <xf numFmtId="0" fontId="16" fillId="0" borderId="11" applyAlignment="1" pivotButton="0" quotePrefix="0" xfId="0">
      <alignment horizontal="left" vertical="center"/>
    </xf>
    <xf numFmtId="0" fontId="3" fillId="4" borderId="8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left" vertical="center" wrapText="1"/>
    </xf>
    <xf numFmtId="0" fontId="6" fillId="0" borderId="12" applyAlignment="1" pivotButton="0" quotePrefix="0" xfId="0">
      <alignment horizontal="left" vertical="center" wrapText="1"/>
    </xf>
    <xf numFmtId="0" fontId="26" fillId="0" borderId="43" applyAlignment="1" pivotButton="0" quotePrefix="0" xfId="0">
      <alignment horizontal="left" vertical="center"/>
    </xf>
    <xf numFmtId="0" fontId="27" fillId="0" borderId="43" applyAlignment="1" pivotButton="0" quotePrefix="0" xfId="0">
      <alignment horizontal="right" vertical="center"/>
    </xf>
    <xf numFmtId="0" fontId="28" fillId="0" borderId="44" applyAlignment="1" pivotButton="0" quotePrefix="0" xfId="0">
      <alignment horizontal="right" vertical="center"/>
    </xf>
    <xf numFmtId="0" fontId="3" fillId="4" borderId="6" applyAlignment="1" pivotButton="0" quotePrefix="0" xfId="0">
      <alignment horizontal="center" vertical="center"/>
    </xf>
    <xf numFmtId="0" fontId="3" fillId="4" borderId="7" applyAlignment="1" pivotButton="0" quotePrefix="0" xfId="0">
      <alignment horizontal="center" vertical="center"/>
    </xf>
    <xf numFmtId="0" fontId="22" fillId="0" borderId="7" applyAlignment="1" pivotButton="0" quotePrefix="0" xfId="0">
      <alignment horizontal="left" vertical="center"/>
    </xf>
    <xf numFmtId="0" fontId="16" fillId="0" borderId="7" applyAlignment="1" pivotButton="0" quotePrefix="0" xfId="0">
      <alignment horizontal="left" vertical="center"/>
    </xf>
    <xf numFmtId="0" fontId="16" fillId="0" borderId="10" applyAlignment="1" pivotButton="0" quotePrefix="0" xfId="0">
      <alignment horizontal="left" vertical="center"/>
    </xf>
    <xf numFmtId="0" fontId="10" fillId="0" borderId="15" applyAlignment="1" pivotButton="0" quotePrefix="0" xfId="0">
      <alignment horizontal="left" vertical="center"/>
    </xf>
    <xf numFmtId="0" fontId="11" fillId="0" borderId="15" applyAlignment="1" pivotButton="0" quotePrefix="0" xfId="0">
      <alignment horizontal="left" vertical="center"/>
    </xf>
    <xf numFmtId="0" fontId="23" fillId="9" borderId="26" applyAlignment="1" pivotButton="0" quotePrefix="0" xfId="0">
      <alignment horizontal="center" vertical="center"/>
    </xf>
    <xf numFmtId="0" fontId="23" fillId="0" borderId="35" applyAlignment="1" pivotButton="0" quotePrefix="0" xfId="0">
      <alignment horizontal="center" vertical="center"/>
    </xf>
    <xf numFmtId="0" fontId="16" fillId="0" borderId="35" applyAlignment="1" pivotButton="0" quotePrefix="0" xfId="0">
      <alignment horizontal="center" vertical="center"/>
    </xf>
    <xf numFmtId="9" fontId="3" fillId="0" borderId="35" applyAlignment="1" pivotButton="0" quotePrefix="0" xfId="0">
      <alignment horizontal="left" vertical="center"/>
    </xf>
    <xf numFmtId="0" fontId="17" fillId="0" borderId="35" applyAlignment="1" pivotButton="0" quotePrefix="0" xfId="0">
      <alignment horizontal="center" vertical="center"/>
    </xf>
    <xf numFmtId="0" fontId="17" fillId="0" borderId="28" applyAlignment="1" pivotButton="0" quotePrefix="0" xfId="0">
      <alignment horizontal="center" vertical="center"/>
    </xf>
    <xf numFmtId="0" fontId="23" fillId="2" borderId="14" applyAlignment="1" pivotButton="0" quotePrefix="0" xfId="0">
      <alignment horizontal="center" vertical="center"/>
    </xf>
    <xf numFmtId="0" fontId="23" fillId="2" borderId="15" applyAlignment="1" pivotButton="0" quotePrefix="0" xfId="0">
      <alignment horizontal="center" vertical="center"/>
    </xf>
    <xf numFmtId="9" fontId="29" fillId="4" borderId="13" applyAlignment="1" pivotButton="0" quotePrefix="0" xfId="0">
      <alignment horizontal="center" vertical="center"/>
    </xf>
    <xf numFmtId="9" fontId="29" fillId="4" borderId="0" applyAlignment="1" pivotButton="0" quotePrefix="0" xfId="0">
      <alignment horizontal="center" vertical="center"/>
    </xf>
    <xf numFmtId="9" fontId="29" fillId="4" borderId="17" applyAlignment="1" pivotButton="0" quotePrefix="0" xfId="0">
      <alignment horizontal="center" vertical="center"/>
    </xf>
    <xf numFmtId="9" fontId="29" fillId="4" borderId="18" applyAlignment="1" pivotButton="0" quotePrefix="0" xfId="0">
      <alignment horizontal="center" vertical="center"/>
    </xf>
    <xf numFmtId="0" fontId="3" fillId="4" borderId="45" applyAlignment="1" pivotButton="0" quotePrefix="0" xfId="0">
      <alignment horizontal="center" vertical="center"/>
    </xf>
    <xf numFmtId="0" fontId="3" fillId="4" borderId="47" applyAlignment="1" pivotButton="0" quotePrefix="0" xfId="0">
      <alignment horizontal="center" vertical="center"/>
    </xf>
    <xf numFmtId="0" fontId="28" fillId="0" borderId="35" applyAlignment="1" pivotButton="0" quotePrefix="0" xfId="0">
      <alignment horizontal="center" vertical="center"/>
    </xf>
    <xf numFmtId="0" fontId="30" fillId="0" borderId="28" applyAlignment="1" pivotButton="0" quotePrefix="0" xfId="0">
      <alignment horizontal="center" vertical="center"/>
    </xf>
    <xf numFmtId="9" fontId="31" fillId="0" borderId="46" applyAlignment="1" pivotButton="0" quotePrefix="0" xfId="0">
      <alignment horizontal="left" vertical="center"/>
    </xf>
    <xf numFmtId="0" fontId="23" fillId="13" borderId="26" applyAlignment="1" pivotButton="0" quotePrefix="0" xfId="0">
      <alignment horizontal="center" vertical="center"/>
    </xf>
    <xf numFmtId="0" fontId="23" fillId="14" borderId="26" applyAlignment="1" pivotButton="0" quotePrefix="0" xfId="0">
      <alignment horizontal="center" vertical="center"/>
    </xf>
    <xf numFmtId="0" fontId="23" fillId="11" borderId="26" applyAlignment="1" pivotButton="0" quotePrefix="0" xfId="0">
      <alignment horizontal="center" vertical="center"/>
    </xf>
    <xf numFmtId="0" fontId="23" fillId="12" borderId="26" applyAlignment="1" pivotButton="0" quotePrefix="0" xfId="0">
      <alignment horizontal="center" vertical="center"/>
    </xf>
    <xf numFmtId="0" fontId="23" fillId="17" borderId="26" applyAlignment="1" pivotButton="0" quotePrefix="0" xfId="0">
      <alignment horizontal="center" vertical="center"/>
    </xf>
    <xf numFmtId="0" fontId="23" fillId="18" borderId="26" applyAlignment="1" pivotButton="0" quotePrefix="0" xfId="0">
      <alignment horizontal="center" vertical="center"/>
    </xf>
    <xf numFmtId="0" fontId="23" fillId="15" borderId="26" applyAlignment="1" pivotButton="0" quotePrefix="0" xfId="0">
      <alignment horizontal="center" vertical="center"/>
    </xf>
    <xf numFmtId="0" fontId="23" fillId="16" borderId="26" applyAlignment="1" pivotButton="0" quotePrefix="0" xfId="0">
      <alignment horizontal="center" vertical="center"/>
    </xf>
    <xf numFmtId="0" fontId="23" fillId="21" borderId="27" applyAlignment="1" pivotButton="0" quotePrefix="0" xfId="0">
      <alignment horizontal="center" vertical="center"/>
    </xf>
    <xf numFmtId="0" fontId="23" fillId="0" borderId="46" applyAlignment="1" pivotButton="0" quotePrefix="0" xfId="0">
      <alignment horizontal="center" vertical="center"/>
    </xf>
    <xf numFmtId="0" fontId="16" fillId="0" borderId="46" applyAlignment="1" pivotButton="0" quotePrefix="0" xfId="0">
      <alignment horizontal="center" vertical="center"/>
    </xf>
    <xf numFmtId="9" fontId="3" fillId="0" borderId="46" applyAlignment="1" pivotButton="0" quotePrefix="0" xfId="0">
      <alignment horizontal="left" vertical="center"/>
    </xf>
    <xf numFmtId="0" fontId="17" fillId="0" borderId="46" applyAlignment="1" pivotButton="0" quotePrefix="0" xfId="0">
      <alignment horizontal="center" vertical="center"/>
    </xf>
    <xf numFmtId="0" fontId="17" fillId="0" borderId="29" applyAlignment="1" pivotButton="0" quotePrefix="0" xfId="0">
      <alignment horizontal="center" vertical="center"/>
    </xf>
    <xf numFmtId="0" fontId="5" fillId="4" borderId="26" applyAlignment="1" pivotButton="0" quotePrefix="0" xfId="0">
      <alignment horizontal="center" vertical="center"/>
    </xf>
    <xf numFmtId="0" fontId="5" fillId="4" borderId="35" applyAlignment="1" pivotButton="0" quotePrefix="0" xfId="0">
      <alignment horizontal="center" vertical="center"/>
    </xf>
    <xf numFmtId="0" fontId="5" fillId="4" borderId="28" applyAlignment="1" pivotButton="0" quotePrefix="0" xfId="0">
      <alignment horizontal="center" vertical="center"/>
    </xf>
    <xf numFmtId="0" fontId="23" fillId="19" borderId="26" applyAlignment="1" pivotButton="0" quotePrefix="0" xfId="0">
      <alignment horizontal="center" vertical="center"/>
    </xf>
    <xf numFmtId="0" fontId="23" fillId="20" borderId="26" applyAlignment="1" pivotButton="0" quotePrefix="0" xfId="0">
      <alignment horizontal="center" vertical="center"/>
    </xf>
    <xf numFmtId="0" fontId="1" fillId="0" borderId="26" applyAlignment="1" pivotButton="0" quotePrefix="0" xfId="0">
      <alignment horizontal="left" vertical="center"/>
    </xf>
    <xf numFmtId="0" fontId="1" fillId="0" borderId="35" applyAlignment="1" pivotButton="0" quotePrefix="0" xfId="0">
      <alignment horizontal="left" vertical="center"/>
    </xf>
    <xf numFmtId="14" fontId="1" fillId="0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1" fillId="0" borderId="28" applyAlignment="1" pivotButton="0" quotePrefix="0" xfId="0">
      <alignment horizontal="center" vertical="center"/>
    </xf>
    <xf numFmtId="0" fontId="1" fillId="0" borderId="26" applyAlignment="1" pivotButton="0" quotePrefix="0" xfId="0">
      <alignment horizontal="center" vertical="center"/>
    </xf>
    <xf numFmtId="0" fontId="1" fillId="0" borderId="35" applyAlignment="1" pivotButton="0" quotePrefix="0" xfId="0">
      <alignment horizontal="center" vertical="center"/>
    </xf>
    <xf numFmtId="9" fontId="5" fillId="0" borderId="35" applyAlignment="1" pivotButton="0" quotePrefix="0" xfId="0">
      <alignment horizontal="left" vertical="center"/>
    </xf>
    <xf numFmtId="9" fontId="5" fillId="0" borderId="28" applyAlignment="1" pivotButton="0" quotePrefix="0" xfId="0">
      <alignment horizontal="left" vertical="center"/>
    </xf>
    <xf numFmtId="0" fontId="33" fillId="37" borderId="26" applyAlignment="1" pivotButton="0" quotePrefix="0" xfId="0">
      <alignment horizontal="center" vertical="center"/>
    </xf>
    <xf numFmtId="0" fontId="33" fillId="37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5" fontId="33" fillId="37" borderId="28" applyAlignment="1" pivotButton="0" quotePrefix="0" xfId="0">
      <alignment horizontal="center" vertical="center"/>
    </xf>
    <xf numFmtId="0" fontId="5" fillId="37" borderId="27" applyAlignment="1" pivotButton="0" quotePrefix="0" xfId="0">
      <alignment horizontal="center" vertical="center"/>
    </xf>
    <xf numFmtId="0" fontId="5" fillId="37" borderId="46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166" fontId="32" fillId="37" borderId="29" applyAlignment="1" pivotButton="0" quotePrefix="0" xfId="0">
      <alignment horizontal="center" vertical="center"/>
    </xf>
    <xf numFmtId="0" fontId="7" fillId="4" borderId="35" applyAlignment="1" pivotButton="0" quotePrefix="0" xfId="0">
      <alignment horizontal="center" vertical="center"/>
    </xf>
    <xf numFmtId="0" fontId="16" fillId="0" borderId="13" applyAlignment="1" pivotButton="0" quotePrefix="0" xfId="0">
      <alignment horizontal="left" vertical="top" wrapText="1"/>
    </xf>
    <xf numFmtId="0" fontId="16" fillId="0" borderId="0" applyAlignment="1" pivotButton="0" quotePrefix="0" xfId="0">
      <alignment horizontal="left" vertical="top" wrapText="1"/>
    </xf>
    <xf numFmtId="0" fontId="16" fillId="0" borderId="21" applyAlignment="1" pivotButton="0" quotePrefix="0" xfId="0">
      <alignment horizontal="left" vertical="top" wrapText="1"/>
    </xf>
    <xf numFmtId="0" fontId="16" fillId="0" borderId="17" applyAlignment="1" pivotButton="0" quotePrefix="0" xfId="0">
      <alignment horizontal="left" vertical="top" wrapText="1"/>
    </xf>
    <xf numFmtId="0" fontId="16" fillId="0" borderId="18" applyAlignment="1" pivotButton="0" quotePrefix="0" xfId="0">
      <alignment horizontal="left" vertical="top" wrapText="1"/>
    </xf>
    <xf numFmtId="0" fontId="16" fillId="0" borderId="22" applyAlignment="1" pivotButton="0" quotePrefix="0" xfId="0">
      <alignment horizontal="left" vertical="top" wrapText="1"/>
    </xf>
    <xf numFmtId="0" fontId="23" fillId="38" borderId="14" applyAlignment="1" pivotButton="0" quotePrefix="0" xfId="0">
      <alignment horizontal="left" vertical="center"/>
    </xf>
    <xf numFmtId="0" fontId="23" fillId="38" borderId="15" applyAlignment="1" pivotButton="0" quotePrefix="0" xfId="0">
      <alignment horizontal="left" vertical="center"/>
    </xf>
    <xf numFmtId="0" fontId="23" fillId="38" borderId="20" applyAlignment="1" pivotButton="0" quotePrefix="0" xfId="0">
      <alignment horizontal="left" vertical="center"/>
    </xf>
    <xf numFmtId="0" fontId="17" fillId="0" borderId="13" applyAlignment="1" pivotButton="0" quotePrefix="0" xfId="0">
      <alignment horizontal="left" vertical="top" wrapText="1"/>
    </xf>
    <xf numFmtId="0" fontId="17" fillId="0" borderId="0" applyAlignment="1" pivotButton="0" quotePrefix="0" xfId="0">
      <alignment horizontal="left" vertical="top" wrapText="1"/>
    </xf>
    <xf numFmtId="0" fontId="17" fillId="0" borderId="21" applyAlignment="1" pivotButton="0" quotePrefix="0" xfId="0">
      <alignment horizontal="left" vertical="top" wrapText="1"/>
    </xf>
    <xf numFmtId="0" fontId="17" fillId="0" borderId="17" applyAlignment="1" pivotButton="0" quotePrefix="0" xfId="0">
      <alignment horizontal="left" vertical="top" wrapText="1"/>
    </xf>
    <xf numFmtId="0" fontId="17" fillId="0" borderId="18" applyAlignment="1" pivotButton="0" quotePrefix="0" xfId="0">
      <alignment horizontal="left" vertical="top" wrapText="1"/>
    </xf>
    <xf numFmtId="0" fontId="17" fillId="0" borderId="22" applyAlignment="1" pivotButton="0" quotePrefix="0" xfId="0">
      <alignment horizontal="left" vertical="top" wrapText="1"/>
    </xf>
    <xf numFmtId="0" fontId="10" fillId="0" borderId="15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" fillId="0" borderId="27" applyAlignment="1" pivotButton="0" quotePrefix="0" xfId="0">
      <alignment horizontal="center" vertical="center"/>
    </xf>
    <xf numFmtId="0" fontId="1" fillId="0" borderId="46" applyAlignment="1" pivotButton="0" quotePrefix="0" xfId="0">
      <alignment horizontal="center" vertical="center"/>
    </xf>
    <xf numFmtId="0" fontId="1" fillId="0" borderId="46" applyAlignment="1" pivotButton="0" quotePrefix="0" xfId="0">
      <alignment horizontal="left" vertical="center"/>
    </xf>
    <xf numFmtId="9" fontId="5" fillId="0" borderId="46" applyAlignment="1" pivotButton="0" quotePrefix="0" xfId="0">
      <alignment horizontal="left" vertical="center"/>
    </xf>
    <xf numFmtId="9" fontId="5" fillId="0" borderId="29" applyAlignment="1" pivotButton="0" quotePrefix="0" xfId="0">
      <alignment horizontal="left" vertical="center"/>
    </xf>
    <xf numFmtId="0" fontId="0" fillId="0" borderId="0" pivotButton="0" quotePrefix="0" xfId="0"/>
    <xf numFmtId="0" fontId="58" fillId="64" borderId="0" applyAlignment="1" pivotButton="0" quotePrefix="0" xfId="0">
      <alignment vertical="center" wrapText="1" indent="1"/>
    </xf>
    <xf numFmtId="0" fontId="75" fillId="0" borderId="0" applyAlignment="1" pivotButton="0" quotePrefix="0" xfId="0">
      <alignment vertical="center" wrapText="1" indent="1"/>
    </xf>
    <xf numFmtId="0" fontId="66" fillId="66" borderId="0" applyAlignment="1" pivotButton="0" quotePrefix="0" xfId="0">
      <alignment vertical="center" wrapText="1" indent="1"/>
    </xf>
    <xf numFmtId="0" fontId="76" fillId="0" borderId="0" applyAlignment="1" pivotButton="0" quotePrefix="0" xfId="0">
      <alignment vertical="center" wrapText="1" indent="1"/>
    </xf>
    <xf numFmtId="0" fontId="58" fillId="64" borderId="0" applyAlignment="1" pivotButton="0" quotePrefix="0" xfId="0">
      <alignment vertical="center" indent="1"/>
    </xf>
    <xf numFmtId="0" fontId="59" fillId="0" borderId="0" applyAlignment="1" pivotButton="0" quotePrefix="0" xfId="0">
      <alignment vertical="center" wrapText="1"/>
    </xf>
    <xf numFmtId="0" fontId="60" fillId="65" borderId="0" applyAlignment="1" pivotButton="0" quotePrefix="0" xfId="0">
      <alignment vertical="center" indent="1"/>
    </xf>
    <xf numFmtId="0" fontId="68" fillId="0" borderId="0" pivotButton="0" quotePrefix="0" xfId="0"/>
    <xf numFmtId="0" fontId="61" fillId="66" borderId="135" applyAlignment="1" pivotButton="0" quotePrefix="0" xfId="0">
      <alignment vertical="center" indent="1"/>
    </xf>
    <xf numFmtId="0" fontId="62" fillId="67" borderId="135" applyAlignment="1" pivotButton="0" quotePrefix="0" xfId="0">
      <alignment horizontal="center" vertical="center" shrinkToFit="1"/>
    </xf>
    <xf numFmtId="0" fontId="0" fillId="0" borderId="135" pivotButton="0" quotePrefix="0" xfId="0"/>
    <xf numFmtId="0" fontId="63" fillId="0" borderId="135" applyAlignment="1" pivotButton="0" quotePrefix="0" xfId="0">
      <alignment vertical="center" wrapText="1"/>
    </xf>
    <xf numFmtId="165" fontId="62" fillId="67" borderId="135" applyAlignment="1" pivotButton="0" quotePrefix="0" xfId="0">
      <alignment horizontal="center" vertical="center" shrinkToFit="1"/>
    </xf>
    <xf numFmtId="0" fontId="63" fillId="0" borderId="0" applyAlignment="1" pivotButton="0" quotePrefix="0" xfId="0">
      <alignment vertical="center" wrapText="1"/>
    </xf>
    <xf numFmtId="0" fontId="64" fillId="64" borderId="0" applyAlignment="1" pivotButton="0" quotePrefix="0" xfId="0">
      <alignment horizontal="center" vertical="center"/>
    </xf>
    <xf numFmtId="0" fontId="64" fillId="68" borderId="0" applyAlignment="1" pivotButton="0" quotePrefix="0" xfId="0">
      <alignment horizontal="center" vertical="center"/>
    </xf>
    <xf numFmtId="0" fontId="65" fillId="67" borderId="136" applyAlignment="1" pivotButton="0" quotePrefix="0" xfId="0">
      <alignment horizontal="center" vertical="center"/>
    </xf>
    <xf numFmtId="0" fontId="63" fillId="0" borderId="137" applyAlignment="1" pivotButton="0" quotePrefix="0" xfId="0">
      <alignment vertical="center"/>
    </xf>
    <xf numFmtId="0" fontId="64" fillId="69" borderId="0" applyAlignment="1" pivotButton="0" quotePrefix="0" xfId="0">
      <alignment horizontal="center" vertical="center"/>
    </xf>
    <xf numFmtId="0" fontId="64" fillId="70" borderId="0" applyAlignment="1" pivotButton="0" quotePrefix="0" xfId="0">
      <alignment horizontal="center" vertical="center"/>
    </xf>
    <xf numFmtId="0" fontId="64" fillId="71" borderId="0" applyAlignment="1" pivotButton="0" quotePrefix="0" xfId="0">
      <alignment horizontal="center" vertical="center"/>
    </xf>
    <xf numFmtId="0" fontId="64" fillId="72" borderId="0" applyAlignment="1" pivotButton="0" quotePrefix="0" xfId="0">
      <alignment horizontal="center" vertical="center"/>
    </xf>
    <xf numFmtId="0" fontId="64" fillId="73" borderId="0" applyAlignment="1" pivotButton="0" quotePrefix="0" xfId="0">
      <alignment horizontal="center" vertical="center"/>
    </xf>
    <xf numFmtId="0" fontId="64" fillId="74" borderId="0" applyAlignment="1" pivotButton="0" quotePrefix="0" xfId="0">
      <alignment horizontal="center" vertical="center"/>
    </xf>
    <xf numFmtId="0" fontId="64" fillId="75" borderId="0" applyAlignment="1" pivotButton="0" quotePrefix="0" xfId="0">
      <alignment horizontal="center" vertical="center"/>
    </xf>
    <xf numFmtId="0" fontId="64" fillId="76" borderId="0" applyAlignment="1" pivotButton="0" quotePrefix="0" xfId="0">
      <alignment horizontal="center" vertical="center"/>
    </xf>
    <xf numFmtId="0" fontId="64" fillId="77" borderId="0" applyAlignment="1" pivotButton="0" quotePrefix="0" xfId="0">
      <alignment horizontal="center" vertical="center"/>
    </xf>
    <xf numFmtId="0" fontId="64" fillId="78" borderId="0" applyAlignment="1" pivotButton="0" quotePrefix="0" xfId="0">
      <alignment horizontal="center" vertical="center"/>
    </xf>
    <xf numFmtId="0" fontId="64" fillId="79" borderId="0" applyAlignment="1" pivotButton="0" quotePrefix="0" xfId="0">
      <alignment horizontal="center" vertical="center"/>
    </xf>
    <xf numFmtId="0" fontId="66" fillId="80" borderId="135" applyAlignment="1" pivotButton="0" quotePrefix="0" xfId="0">
      <alignment horizontal="center" vertical="center" shrinkToFit="1"/>
    </xf>
    <xf numFmtId="165" fontId="66" fillId="80" borderId="135" applyAlignment="1" pivotButton="0" quotePrefix="0" xfId="0">
      <alignment horizontal="center" vertical="center" shrinkToFit="1"/>
    </xf>
    <xf numFmtId="0" fontId="67" fillId="80" borderId="135" applyAlignment="1" pivotButton="0" quotePrefix="0" xfId="0">
      <alignment horizontal="left" vertical="center" wrapText="1"/>
    </xf>
    <xf numFmtId="0" fontId="0" fillId="0" borderId="139" pivotButton="0" quotePrefix="0" xfId="0"/>
    <xf numFmtId="0" fontId="0" fillId="0" borderId="15" pivotButton="0" quotePrefix="0" xfId="0"/>
    <xf numFmtId="0" fontId="46" fillId="4" borderId="114" applyAlignment="1" pivotButton="0" quotePrefix="0" xfId="0">
      <alignment horizontal="left" vertical="center" wrapText="1"/>
    </xf>
    <xf numFmtId="0" fontId="0" fillId="0" borderId="20" pivotButton="0" quotePrefix="0" xfId="0"/>
    <xf numFmtId="0" fontId="73" fillId="0" borderId="7" applyAlignment="1" pivotButton="0" quotePrefix="0" xfId="0">
      <alignment horizontal="left" vertical="center"/>
    </xf>
    <xf numFmtId="0" fontId="0" fillId="0" borderId="71" pivotButton="0" quotePrefix="0" xfId="0"/>
    <xf numFmtId="0" fontId="0" fillId="0" borderId="116" pivotButton="0" quotePrefix="0" xfId="0"/>
    <xf numFmtId="0" fontId="0" fillId="0" borderId="13" pivotButton="0" quotePrefix="0" xfId="0"/>
    <xf numFmtId="0" fontId="0" fillId="0" borderId="1" pivotButton="0" quotePrefix="0" xfId="0"/>
    <xf numFmtId="0" fontId="0" fillId="0" borderId="21" pivotButton="0" quotePrefix="0" xfId="0"/>
    <xf numFmtId="0" fontId="0" fillId="0" borderId="117" pivotButton="0" quotePrefix="0" xfId="0"/>
    <xf numFmtId="0" fontId="0" fillId="0" borderId="118" pivotButton="0" quotePrefix="0" xfId="0"/>
    <xf numFmtId="0" fontId="0" fillId="0" borderId="18" pivotButton="0" quotePrefix="0" xfId="0"/>
    <xf numFmtId="0" fontId="0" fillId="0" borderId="19" pivotButton="0" quotePrefix="0" xfId="0"/>
    <xf numFmtId="0" fontId="0" fillId="0" borderId="22" pivotButton="0" quotePrefix="0" xfId="0"/>
    <xf numFmtId="0" fontId="0" fillId="0" borderId="119" pivotButton="0" quotePrefix="0" xfId="0"/>
    <xf numFmtId="0" fontId="0" fillId="0" borderId="120" pivotButton="0" quotePrefix="0" xfId="0"/>
    <xf numFmtId="0" fontId="74" fillId="81" borderId="0" applyAlignment="1" pivotButton="0" quotePrefix="0" xfId="0">
      <alignment horizontal="center" vertical="center"/>
    </xf>
    <xf numFmtId="0" fontId="74" fillId="64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47" fillId="2" borderId="37" applyAlignment="1" pivotButton="0" quotePrefix="0" xfId="0">
      <alignment horizontal="center" vertical="center"/>
    </xf>
    <xf numFmtId="0" fontId="0" fillId="0" borderId="25" pivotButton="0" quotePrefix="0" xfId="0"/>
    <xf numFmtId="0" fontId="35" fillId="8" borderId="72" applyAlignment="1" pivotButton="0" quotePrefix="0" xfId="0">
      <alignment horizontal="center" vertical="center" wrapText="1"/>
    </xf>
    <xf numFmtId="0" fontId="0" fillId="0" borderId="72" pivotButton="0" quotePrefix="0" xfId="0"/>
    <xf numFmtId="0" fontId="8" fillId="4" borderId="124" applyAlignment="1" pivotButton="0" quotePrefix="0" xfId="0">
      <alignment horizontal="center" vertical="center"/>
    </xf>
    <xf numFmtId="0" fontId="0" fillId="0" borderId="125" pivotButton="0" quotePrefix="0" xfId="0"/>
    <xf numFmtId="0" fontId="0" fillId="0" borderId="123" pivotButton="0" quotePrefix="0" xfId="0"/>
    <xf numFmtId="0" fontId="0" fillId="0" borderId="97" pivotButton="0" quotePrefix="0" xfId="0"/>
    <xf numFmtId="0" fontId="0" fillId="0" borderId="38" pivotButton="0" quotePrefix="0" xfId="0"/>
    <xf numFmtId="0" fontId="0" fillId="0" borderId="126" pivotButton="0" quotePrefix="0" xfId="0"/>
    <xf numFmtId="0" fontId="0" fillId="0" borderId="127" pivotButton="0" quotePrefix="0" xfId="0"/>
    <xf numFmtId="0" fontId="35" fillId="0" borderId="31" applyAlignment="1" pivotButton="0" quotePrefix="0" xfId="0">
      <alignment horizontal="center" vertical="center" wrapText="1"/>
    </xf>
    <xf numFmtId="0" fontId="0" fillId="0" borderId="30" pivotButton="0" quotePrefix="0" xfId="0"/>
    <xf numFmtId="0" fontId="0" fillId="0" borderId="31" pivotButton="0" quotePrefix="0" xfId="0"/>
    <xf numFmtId="0" fontId="35" fillId="0" borderId="30" applyAlignment="1" pivotButton="0" quotePrefix="0" xfId="0">
      <alignment horizontal="center" vertical="center" wrapText="1"/>
    </xf>
    <xf numFmtId="0" fontId="54" fillId="0" borderId="101" applyAlignment="1" pivotButton="0" quotePrefix="0" xfId="0">
      <alignment horizontal="left" vertical="center" shrinkToFit="1"/>
    </xf>
    <xf numFmtId="0" fontId="15" fillId="0" borderId="87" applyAlignment="1" pivotButton="0" quotePrefix="0" xfId="0">
      <alignment horizontal="center" vertical="center" shrinkToFit="1"/>
    </xf>
    <xf numFmtId="0" fontId="15" fillId="0" borderId="90" applyAlignment="1" pivotButton="0" quotePrefix="0" xfId="0">
      <alignment horizontal="center" vertical="center" shrinkToFit="1"/>
    </xf>
    <xf numFmtId="0" fontId="15" fillId="0" borderId="94" applyAlignment="1" pivotButton="0" quotePrefix="0" xfId="0">
      <alignment horizontal="center" vertical="center" shrinkToFit="1"/>
    </xf>
    <xf numFmtId="0" fontId="36" fillId="82" borderId="33" applyAlignment="1" pivotButton="0" quotePrefix="0" xfId="0">
      <alignment horizontal="center" vertical="center"/>
    </xf>
    <xf numFmtId="0" fontId="36" fillId="82" borderId="34" applyAlignment="1" pivotButton="0" quotePrefix="0" xfId="0">
      <alignment horizontal="center" vertical="center"/>
    </xf>
    <xf numFmtId="0" fontId="36" fillId="82" borderId="32" applyAlignment="1" pivotButton="0" quotePrefix="0" xfId="0">
      <alignment horizontal="center" vertical="center"/>
    </xf>
    <xf numFmtId="0" fontId="36" fillId="82" borderId="57" applyAlignment="1" pivotButton="0" quotePrefix="0" xfId="0">
      <alignment horizontal="center" vertical="center"/>
    </xf>
    <xf numFmtId="0" fontId="49" fillId="0" borderId="66" applyAlignment="1" pivotButton="0" quotePrefix="0" xfId="0">
      <alignment horizontal="center" vertical="center" shrinkToFit="1"/>
    </xf>
    <xf numFmtId="0" fontId="0" fillId="0" borderId="67" pivotButton="0" quotePrefix="0" xfId="0"/>
    <xf numFmtId="0" fontId="49" fillId="0" borderId="110" applyAlignment="1" pivotButton="0" quotePrefix="0" xfId="0">
      <alignment horizontal="center" vertical="center" shrinkToFit="1"/>
    </xf>
    <xf numFmtId="0" fontId="0" fillId="0" borderId="68" pivotButton="0" quotePrefix="0" xfId="0"/>
    <xf numFmtId="0" fontId="49" fillId="0" borderId="68" applyAlignment="1" pivotButton="0" quotePrefix="0" xfId="0">
      <alignment horizontal="center" vertical="center" shrinkToFit="1"/>
    </xf>
    <xf numFmtId="0" fontId="49" fillId="0" borderId="67" applyAlignment="1" pivotButton="0" quotePrefix="0" xfId="0">
      <alignment horizontal="center" vertical="center" shrinkToFit="1"/>
    </xf>
    <xf numFmtId="0" fontId="52" fillId="83" borderId="73" applyAlignment="1" pivotButton="0" quotePrefix="0" xfId="0">
      <alignment horizontal="center" vertical="center"/>
    </xf>
    <xf numFmtId="0" fontId="52" fillId="83" borderId="74" applyAlignment="1" pivotButton="0" quotePrefix="0" xfId="0">
      <alignment horizontal="center" vertical="center"/>
    </xf>
    <xf numFmtId="0" fontId="52" fillId="83" borderId="81" applyAlignment="1" pivotButton="0" quotePrefix="0" xfId="0">
      <alignment horizontal="center" vertical="center"/>
    </xf>
    <xf numFmtId="0" fontId="52" fillId="83" borderId="75" applyAlignment="1" pivotButton="0" quotePrefix="0" xfId="0">
      <alignment horizontal="center" vertical="center"/>
    </xf>
    <xf numFmtId="0" fontId="49" fillId="0" borderId="76" applyAlignment="1" pivotButton="0" quotePrefix="0" xfId="0">
      <alignment horizontal="center" vertical="center" shrinkToFit="1"/>
    </xf>
    <xf numFmtId="0" fontId="49" fillId="0" borderId="105" applyAlignment="1" pivotButton="0" quotePrefix="0" xfId="0">
      <alignment horizontal="center" vertical="center" shrinkToFit="1"/>
    </xf>
    <xf numFmtId="0" fontId="0" fillId="0" borderId="51" pivotButton="0" quotePrefix="0" xfId="0"/>
    <xf numFmtId="0" fontId="49" fillId="0" borderId="51" applyAlignment="1" pivotButton="0" quotePrefix="0" xfId="0">
      <alignment horizontal="center" vertical="center" shrinkToFit="1"/>
    </xf>
    <xf numFmtId="0" fontId="49" fillId="0" borderId="0" applyAlignment="1" pivotButton="0" quotePrefix="0" xfId="0">
      <alignment horizontal="center" vertical="center" shrinkToFit="1"/>
    </xf>
    <xf numFmtId="0" fontId="0" fillId="0" borderId="24" pivotButton="0" quotePrefix="0" xfId="0"/>
    <xf numFmtId="0" fontId="52" fillId="84" borderId="77" applyAlignment="1" pivotButton="0" quotePrefix="0" xfId="0">
      <alignment horizontal="center" vertical="center"/>
    </xf>
    <xf numFmtId="0" fontId="52" fillId="84" borderId="78" applyAlignment="1" pivotButton="0" quotePrefix="0" xfId="0">
      <alignment horizontal="center" vertical="center"/>
    </xf>
    <xf numFmtId="0" fontId="52" fillId="84" borderId="82" applyAlignment="1" pivotButton="0" quotePrefix="0" xfId="0">
      <alignment horizontal="center" vertical="center"/>
    </xf>
    <xf numFmtId="0" fontId="52" fillId="84" borderId="79" applyAlignment="1" pivotButton="0" quotePrefix="0" xfId="0">
      <alignment horizontal="center" vertical="center"/>
    </xf>
    <xf numFmtId="0" fontId="54" fillId="0" borderId="102" applyAlignment="1" pivotButton="0" quotePrefix="0" xfId="0">
      <alignment horizontal="left" vertical="center" shrinkToFit="1"/>
    </xf>
    <xf numFmtId="0" fontId="15" fillId="0" borderId="88" applyAlignment="1" pivotButton="0" quotePrefix="0" xfId="0">
      <alignment horizontal="center" vertical="center" shrinkToFit="1"/>
    </xf>
    <xf numFmtId="0" fontId="15" fillId="0" borderId="91" applyAlignment="1" pivotButton="0" quotePrefix="0" xfId="0">
      <alignment horizontal="center" vertical="center" shrinkToFit="1"/>
    </xf>
    <xf numFmtId="0" fontId="15" fillId="0" borderId="95" applyAlignment="1" pivotButton="0" quotePrefix="0" xfId="0">
      <alignment horizontal="center" vertical="center" shrinkToFit="1"/>
    </xf>
    <xf numFmtId="0" fontId="34" fillId="11" borderId="109" applyAlignment="1" pivotButton="0" quotePrefix="0" xfId="0">
      <alignment horizontal="center" vertical="center"/>
    </xf>
    <xf numFmtId="0" fontId="36" fillId="85" borderId="33" applyAlignment="1" pivotButton="0" quotePrefix="0" xfId="0">
      <alignment horizontal="center" vertical="center"/>
    </xf>
    <xf numFmtId="0" fontId="36" fillId="85" borderId="34" applyAlignment="1" pivotButton="0" quotePrefix="0" xfId="0">
      <alignment horizontal="center" vertical="center"/>
    </xf>
    <xf numFmtId="0" fontId="36" fillId="85" borderId="32" applyAlignment="1" pivotButton="0" quotePrefix="0" xfId="0">
      <alignment horizontal="center" vertical="center"/>
    </xf>
    <xf numFmtId="0" fontId="36" fillId="85" borderId="57" applyAlignment="1" pivotButton="0" quotePrefix="0" xfId="0">
      <alignment horizontal="center" vertical="center"/>
    </xf>
    <xf numFmtId="0" fontId="52" fillId="86" borderId="73" applyAlignment="1" pivotButton="0" quotePrefix="0" xfId="0">
      <alignment horizontal="center" vertical="center"/>
    </xf>
    <xf numFmtId="0" fontId="52" fillId="86" borderId="74" applyAlignment="1" pivotButton="0" quotePrefix="0" xfId="0">
      <alignment horizontal="center" vertical="center"/>
    </xf>
    <xf numFmtId="0" fontId="52" fillId="86" borderId="81" applyAlignment="1" pivotButton="0" quotePrefix="0" xfId="0">
      <alignment horizontal="center" vertical="center"/>
    </xf>
    <xf numFmtId="0" fontId="52" fillId="86" borderId="75" applyAlignment="1" pivotButton="0" quotePrefix="0" xfId="0">
      <alignment horizontal="center" vertical="center"/>
    </xf>
    <xf numFmtId="0" fontId="34" fillId="12" borderId="109" applyAlignment="1" pivotButton="0" quotePrefix="0" xfId="0">
      <alignment horizontal="center" vertical="center"/>
    </xf>
    <xf numFmtId="0" fontId="36" fillId="87" borderId="33" applyAlignment="1" pivotButton="0" quotePrefix="0" xfId="0">
      <alignment horizontal="center" vertical="center"/>
    </xf>
    <xf numFmtId="0" fontId="36" fillId="87" borderId="34" applyAlignment="1" pivotButton="0" quotePrefix="0" xfId="0">
      <alignment horizontal="center" vertical="center"/>
    </xf>
    <xf numFmtId="0" fontId="36" fillId="87" borderId="32" applyAlignment="1" pivotButton="0" quotePrefix="0" xfId="0">
      <alignment horizontal="center" vertical="center"/>
    </xf>
    <xf numFmtId="0" fontId="36" fillId="87" borderId="57" applyAlignment="1" pivotButton="0" quotePrefix="0" xfId="0">
      <alignment horizontal="center" vertical="center"/>
    </xf>
    <xf numFmtId="0" fontId="52" fillId="88" borderId="73" applyAlignment="1" pivotButton="0" quotePrefix="0" xfId="0">
      <alignment horizontal="center" vertical="center"/>
    </xf>
    <xf numFmtId="0" fontId="52" fillId="88" borderId="74" applyAlignment="1" pivotButton="0" quotePrefix="0" xfId="0">
      <alignment horizontal="center" vertical="center"/>
    </xf>
    <xf numFmtId="0" fontId="52" fillId="88" borderId="81" applyAlignment="1" pivotButton="0" quotePrefix="0" xfId="0">
      <alignment horizontal="center" vertical="center"/>
    </xf>
    <xf numFmtId="0" fontId="52" fillId="88" borderId="75" applyAlignment="1" pivotButton="0" quotePrefix="0" xfId="0">
      <alignment horizontal="center" vertical="center"/>
    </xf>
    <xf numFmtId="0" fontId="34" fillId="13" borderId="109" applyAlignment="1" pivotButton="0" quotePrefix="0" xfId="0">
      <alignment horizontal="center" vertical="center"/>
    </xf>
    <xf numFmtId="0" fontId="36" fillId="89" borderId="33" applyAlignment="1" pivotButton="0" quotePrefix="0" xfId="0">
      <alignment horizontal="center" vertical="center"/>
    </xf>
    <xf numFmtId="0" fontId="36" fillId="89" borderId="34" applyAlignment="1" pivotButton="0" quotePrefix="0" xfId="0">
      <alignment horizontal="center" vertical="center"/>
    </xf>
    <xf numFmtId="0" fontId="36" fillId="89" borderId="32" applyAlignment="1" pivotButton="0" quotePrefix="0" xfId="0">
      <alignment horizontal="center" vertical="center"/>
    </xf>
    <xf numFmtId="0" fontId="36" fillId="89" borderId="57" applyAlignment="1" pivotButton="0" quotePrefix="0" xfId="0">
      <alignment horizontal="center" vertical="center"/>
    </xf>
    <xf numFmtId="0" fontId="52" fillId="90" borderId="73" applyAlignment="1" pivotButton="0" quotePrefix="0" xfId="0">
      <alignment horizontal="center" vertical="center"/>
    </xf>
    <xf numFmtId="0" fontId="52" fillId="90" borderId="74" applyAlignment="1" pivotButton="0" quotePrefix="0" xfId="0">
      <alignment horizontal="center" vertical="center"/>
    </xf>
    <xf numFmtId="0" fontId="52" fillId="90" borderId="81" applyAlignment="1" pivotButton="0" quotePrefix="0" xfId="0">
      <alignment horizontal="center" vertical="center"/>
    </xf>
    <xf numFmtId="0" fontId="52" fillId="90" borderId="75" applyAlignment="1" pivotButton="0" quotePrefix="0" xfId="0">
      <alignment horizontal="center" vertical="center"/>
    </xf>
    <xf numFmtId="0" fontId="34" fillId="14" borderId="109" applyAlignment="1" pivotButton="0" quotePrefix="0" xfId="0">
      <alignment horizontal="center" vertical="center"/>
    </xf>
    <xf numFmtId="0" fontId="36" fillId="91" borderId="33" applyAlignment="1" pivotButton="0" quotePrefix="0" xfId="0">
      <alignment horizontal="center" vertical="center"/>
    </xf>
    <xf numFmtId="0" fontId="36" fillId="91" borderId="34" applyAlignment="1" pivotButton="0" quotePrefix="0" xfId="0">
      <alignment horizontal="center" vertical="center"/>
    </xf>
    <xf numFmtId="0" fontId="36" fillId="91" borderId="32" applyAlignment="1" pivotButton="0" quotePrefix="0" xfId="0">
      <alignment horizontal="center" vertical="center"/>
    </xf>
    <xf numFmtId="0" fontId="36" fillId="91" borderId="57" applyAlignment="1" pivotButton="0" quotePrefix="0" xfId="0">
      <alignment horizontal="center" vertical="center"/>
    </xf>
    <xf numFmtId="0" fontId="52" fillId="92" borderId="73" applyAlignment="1" pivotButton="0" quotePrefix="0" xfId="0">
      <alignment horizontal="center" vertical="center"/>
    </xf>
    <xf numFmtId="0" fontId="52" fillId="92" borderId="74" applyAlignment="1" pivotButton="0" quotePrefix="0" xfId="0">
      <alignment horizontal="center" vertical="center"/>
    </xf>
    <xf numFmtId="0" fontId="52" fillId="92" borderId="81" applyAlignment="1" pivotButton="0" quotePrefix="0" xfId="0">
      <alignment horizontal="center" vertical="center"/>
    </xf>
    <xf numFmtId="0" fontId="52" fillId="92" borderId="75" applyAlignment="1" pivotButton="0" quotePrefix="0" xfId="0">
      <alignment horizontal="center" vertical="center"/>
    </xf>
    <xf numFmtId="0" fontId="34" fillId="15" borderId="109" applyAlignment="1" pivotButton="0" quotePrefix="0" xfId="0">
      <alignment horizontal="center" vertical="center"/>
    </xf>
    <xf numFmtId="0" fontId="36" fillId="93" borderId="33" applyAlignment="1" pivotButton="0" quotePrefix="0" xfId="0">
      <alignment horizontal="center" vertical="center"/>
    </xf>
    <xf numFmtId="0" fontId="36" fillId="93" borderId="34" applyAlignment="1" pivotButton="0" quotePrefix="0" xfId="0">
      <alignment horizontal="center" vertical="center"/>
    </xf>
    <xf numFmtId="0" fontId="36" fillId="93" borderId="32" applyAlignment="1" pivotButton="0" quotePrefix="0" xfId="0">
      <alignment horizontal="center" vertical="center"/>
    </xf>
    <xf numFmtId="0" fontId="36" fillId="93" borderId="57" applyAlignment="1" pivotButton="0" quotePrefix="0" xfId="0">
      <alignment horizontal="center" vertical="center"/>
    </xf>
    <xf numFmtId="0" fontId="52" fillId="94" borderId="73" applyAlignment="1" pivotButton="0" quotePrefix="0" xfId="0">
      <alignment horizontal="center" vertical="center"/>
    </xf>
    <xf numFmtId="0" fontId="52" fillId="94" borderId="74" applyAlignment="1" pivotButton="0" quotePrefix="0" xfId="0">
      <alignment horizontal="center" vertical="center"/>
    </xf>
    <xf numFmtId="0" fontId="52" fillId="94" borderId="81" applyAlignment="1" pivotButton="0" quotePrefix="0" xfId="0">
      <alignment horizontal="center" vertical="center"/>
    </xf>
    <xf numFmtId="0" fontId="52" fillId="94" borderId="75" applyAlignment="1" pivotButton="0" quotePrefix="0" xfId="0">
      <alignment horizontal="center" vertical="center"/>
    </xf>
    <xf numFmtId="0" fontId="34" fillId="16" borderId="109" applyAlignment="1" pivotButton="0" quotePrefix="0" xfId="0">
      <alignment horizontal="center" vertical="center"/>
    </xf>
    <xf numFmtId="0" fontId="36" fillId="95" borderId="33" applyAlignment="1" pivotButton="0" quotePrefix="0" xfId="0">
      <alignment horizontal="center" vertical="center"/>
    </xf>
    <xf numFmtId="0" fontId="36" fillId="95" borderId="34" applyAlignment="1" pivotButton="0" quotePrefix="0" xfId="0">
      <alignment horizontal="center" vertical="center"/>
    </xf>
    <xf numFmtId="0" fontId="36" fillId="95" borderId="32" applyAlignment="1" pivotButton="0" quotePrefix="0" xfId="0">
      <alignment horizontal="center" vertical="center"/>
    </xf>
    <xf numFmtId="0" fontId="36" fillId="95" borderId="57" applyAlignment="1" pivotButton="0" quotePrefix="0" xfId="0">
      <alignment horizontal="center" vertical="center"/>
    </xf>
    <xf numFmtId="0" fontId="52" fillId="96" borderId="73" applyAlignment="1" pivotButton="0" quotePrefix="0" xfId="0">
      <alignment horizontal="center" vertical="center"/>
    </xf>
    <xf numFmtId="0" fontId="52" fillId="96" borderId="74" applyAlignment="1" pivotButton="0" quotePrefix="0" xfId="0">
      <alignment horizontal="center" vertical="center"/>
    </xf>
    <xf numFmtId="0" fontId="52" fillId="96" borderId="81" applyAlignment="1" pivotButton="0" quotePrefix="0" xfId="0">
      <alignment horizontal="center" vertical="center"/>
    </xf>
    <xf numFmtId="0" fontId="52" fillId="96" borderId="75" applyAlignment="1" pivotButton="0" quotePrefix="0" xfId="0">
      <alignment horizontal="center" vertical="center"/>
    </xf>
    <xf numFmtId="0" fontId="34" fillId="17" borderId="106" applyAlignment="1" pivotButton="0" quotePrefix="0" xfId="0">
      <alignment horizontal="center" vertical="center"/>
    </xf>
    <xf numFmtId="0" fontId="0" fillId="0" borderId="80" pivotButton="0" quotePrefix="0" xfId="0"/>
    <xf numFmtId="0" fontId="36" fillId="97" borderId="33" applyAlignment="1" pivotButton="0" quotePrefix="0" xfId="0">
      <alignment horizontal="center" vertical="center"/>
    </xf>
    <xf numFmtId="0" fontId="36" fillId="97" borderId="34" applyAlignment="1" pivotButton="0" quotePrefix="0" xfId="0">
      <alignment horizontal="center" vertical="center"/>
    </xf>
    <xf numFmtId="0" fontId="36" fillId="97" borderId="32" applyAlignment="1" pivotButton="0" quotePrefix="0" xfId="0">
      <alignment horizontal="center" vertical="center"/>
    </xf>
    <xf numFmtId="0" fontId="36" fillId="97" borderId="57" applyAlignment="1" pivotButton="0" quotePrefix="0" xfId="0">
      <alignment horizontal="center" vertical="center"/>
    </xf>
    <xf numFmtId="0" fontId="52" fillId="98" borderId="73" applyAlignment="1" pivotButton="0" quotePrefix="0" xfId="0">
      <alignment horizontal="center" vertical="center"/>
    </xf>
    <xf numFmtId="0" fontId="52" fillId="98" borderId="74" applyAlignment="1" pivotButton="0" quotePrefix="0" xfId="0">
      <alignment horizontal="center" vertical="center"/>
    </xf>
    <xf numFmtId="0" fontId="52" fillId="98" borderId="81" applyAlignment="1" pivotButton="0" quotePrefix="0" xfId="0">
      <alignment horizontal="center" vertical="center"/>
    </xf>
    <xf numFmtId="0" fontId="52" fillId="98" borderId="75" applyAlignment="1" pivotButton="0" quotePrefix="0" xfId="0">
      <alignment horizontal="center" vertical="center"/>
    </xf>
    <xf numFmtId="0" fontId="0" fillId="0" borderId="107" pivotButton="0" quotePrefix="0" xfId="0"/>
    <xf numFmtId="0" fontId="34" fillId="18" borderId="106" applyAlignment="1" pivotButton="0" quotePrefix="0" xfId="0">
      <alignment horizontal="center" vertical="center"/>
    </xf>
    <xf numFmtId="0" fontId="36" fillId="99" borderId="33" applyAlignment="1" pivotButton="0" quotePrefix="0" xfId="0">
      <alignment horizontal="center" vertical="center"/>
    </xf>
    <xf numFmtId="0" fontId="36" fillId="99" borderId="34" applyAlignment="1" pivotButton="0" quotePrefix="0" xfId="0">
      <alignment horizontal="center" vertical="center"/>
    </xf>
    <xf numFmtId="0" fontId="36" fillId="99" borderId="32" applyAlignment="1" pivotButton="0" quotePrefix="0" xfId="0">
      <alignment horizontal="center" vertical="center"/>
    </xf>
    <xf numFmtId="0" fontId="36" fillId="99" borderId="57" applyAlignment="1" pivotButton="0" quotePrefix="0" xfId="0">
      <alignment horizontal="center" vertical="center"/>
    </xf>
    <xf numFmtId="0" fontId="52" fillId="100" borderId="73" applyAlignment="1" pivotButton="0" quotePrefix="0" xfId="0">
      <alignment horizontal="center" vertical="center"/>
    </xf>
    <xf numFmtId="0" fontId="52" fillId="100" borderId="74" applyAlignment="1" pivotButton="0" quotePrefix="0" xfId="0">
      <alignment horizontal="center" vertical="center"/>
    </xf>
    <xf numFmtId="0" fontId="52" fillId="100" borderId="81" applyAlignment="1" pivotButton="0" quotePrefix="0" xfId="0">
      <alignment horizontal="center" vertical="center"/>
    </xf>
    <xf numFmtId="0" fontId="52" fillId="100" borderId="75" applyAlignment="1" pivotButton="0" quotePrefix="0" xfId="0">
      <alignment horizontal="center" vertical="center"/>
    </xf>
    <xf numFmtId="0" fontId="34" fillId="19" borderId="106" applyAlignment="1" pivotButton="0" quotePrefix="0" xfId="0">
      <alignment horizontal="center" vertical="center"/>
    </xf>
    <xf numFmtId="0" fontId="36" fillId="101" borderId="33" applyAlignment="1" pivotButton="0" quotePrefix="0" xfId="0">
      <alignment horizontal="center" vertical="center"/>
    </xf>
    <xf numFmtId="0" fontId="36" fillId="101" borderId="34" applyAlignment="1" pivotButton="0" quotePrefix="0" xfId="0">
      <alignment horizontal="center" vertical="center"/>
    </xf>
    <xf numFmtId="0" fontId="36" fillId="101" borderId="32" applyAlignment="1" pivotButton="0" quotePrefix="0" xfId="0">
      <alignment horizontal="center" vertical="center"/>
    </xf>
    <xf numFmtId="0" fontId="36" fillId="101" borderId="57" applyAlignment="1" pivotButton="0" quotePrefix="0" xfId="0">
      <alignment horizontal="center" vertical="center"/>
    </xf>
    <xf numFmtId="0" fontId="52" fillId="102" borderId="73" applyAlignment="1" pivotButton="0" quotePrefix="0" xfId="0">
      <alignment horizontal="center" vertical="center"/>
    </xf>
    <xf numFmtId="0" fontId="52" fillId="102" borderId="74" applyAlignment="1" pivotButton="0" quotePrefix="0" xfId="0">
      <alignment horizontal="center" vertical="center"/>
    </xf>
    <xf numFmtId="0" fontId="52" fillId="102" borderId="81" applyAlignment="1" pivotButton="0" quotePrefix="0" xfId="0">
      <alignment horizontal="center" vertical="center"/>
    </xf>
    <xf numFmtId="0" fontId="52" fillId="102" borderId="75" applyAlignment="1" pivotButton="0" quotePrefix="0" xfId="0">
      <alignment horizontal="center" vertical="center"/>
    </xf>
    <xf numFmtId="0" fontId="34" fillId="20" borderId="106" applyAlignment="1" pivotButton="0" quotePrefix="0" xfId="0">
      <alignment horizontal="center" vertical="center"/>
    </xf>
    <xf numFmtId="0" fontId="36" fillId="103" borderId="33" applyAlignment="1" pivotButton="0" quotePrefix="0" xfId="0">
      <alignment horizontal="center" vertical="center"/>
    </xf>
    <xf numFmtId="0" fontId="36" fillId="103" borderId="34" applyAlignment="1" pivotButton="0" quotePrefix="0" xfId="0">
      <alignment horizontal="center" vertical="center"/>
    </xf>
    <xf numFmtId="0" fontId="36" fillId="103" borderId="32" applyAlignment="1" pivotButton="0" quotePrefix="0" xfId="0">
      <alignment horizontal="center" vertical="center"/>
    </xf>
    <xf numFmtId="0" fontId="36" fillId="103" borderId="57" applyAlignment="1" pivotButton="0" quotePrefix="0" xfId="0">
      <alignment horizontal="center" vertical="center"/>
    </xf>
    <xf numFmtId="0" fontId="52" fillId="104" borderId="73" applyAlignment="1" pivotButton="0" quotePrefix="0" xfId="0">
      <alignment horizontal="center" vertical="center"/>
    </xf>
    <xf numFmtId="0" fontId="52" fillId="104" borderId="74" applyAlignment="1" pivotButton="0" quotePrefix="0" xfId="0">
      <alignment horizontal="center" vertical="center"/>
    </xf>
    <xf numFmtId="0" fontId="52" fillId="104" borderId="81" applyAlignment="1" pivotButton="0" quotePrefix="0" xfId="0">
      <alignment horizontal="center" vertical="center"/>
    </xf>
    <xf numFmtId="0" fontId="52" fillId="104" borderId="75" applyAlignment="1" pivotButton="0" quotePrefix="0" xfId="0">
      <alignment horizontal="center" vertical="center"/>
    </xf>
    <xf numFmtId="0" fontId="34" fillId="21" borderId="108" applyAlignment="1" pivotButton="0" quotePrefix="0" xfId="0">
      <alignment horizontal="center" vertical="center"/>
    </xf>
    <xf numFmtId="0" fontId="36" fillId="105" borderId="33" applyAlignment="1" pivotButton="0" quotePrefix="0" xfId="0">
      <alignment horizontal="center" vertical="center"/>
    </xf>
    <xf numFmtId="0" fontId="36" fillId="105" borderId="34" applyAlignment="1" pivotButton="0" quotePrefix="0" xfId="0">
      <alignment horizontal="center" vertical="center"/>
    </xf>
    <xf numFmtId="0" fontId="36" fillId="105" borderId="32" applyAlignment="1" pivotButton="0" quotePrefix="0" xfId="0">
      <alignment horizontal="center" vertical="center"/>
    </xf>
    <xf numFmtId="0" fontId="36" fillId="105" borderId="57" applyAlignment="1" pivotButton="0" quotePrefix="0" xfId="0">
      <alignment horizontal="center" vertical="center"/>
    </xf>
    <xf numFmtId="0" fontId="52" fillId="106" borderId="73" applyAlignment="1" pivotButton="0" quotePrefix="0" xfId="0">
      <alignment horizontal="center" vertical="center"/>
    </xf>
    <xf numFmtId="0" fontId="52" fillId="106" borderId="74" applyAlignment="1" pivotButton="0" quotePrefix="0" xfId="0">
      <alignment horizontal="center" vertical="center"/>
    </xf>
    <xf numFmtId="0" fontId="52" fillId="106" borderId="81" applyAlignment="1" pivotButton="0" quotePrefix="0" xfId="0">
      <alignment horizontal="center" vertical="center"/>
    </xf>
    <xf numFmtId="0" fontId="52" fillId="106" borderId="75" applyAlignment="1" pivotButton="0" quotePrefix="0" xfId="0">
      <alignment horizontal="center" vertical="center"/>
    </xf>
    <xf numFmtId="0" fontId="0" fillId="0" borderId="17" pivotButton="0" quotePrefix="0" xfId="0"/>
    <xf numFmtId="0" fontId="77" fillId="64" borderId="0" applyAlignment="1" pivotButton="0" quotePrefix="0" xfId="0">
      <alignment horizontal="center" vertical="center"/>
    </xf>
    <xf numFmtId="0" fontId="78" fillId="66" borderId="141" applyAlignment="1" pivotButton="0" quotePrefix="0" xfId="0">
      <alignment horizontal="left" vertical="center" shrinkToFit="1" indent="1"/>
    </xf>
    <xf numFmtId="0" fontId="0" fillId="66" borderId="141" pivotButton="0" quotePrefix="0" xfId="0"/>
    <xf numFmtId="0" fontId="61" fillId="66" borderId="141" applyAlignment="1" pivotButton="0" quotePrefix="0" xfId="0">
      <alignment horizontal="left" vertical="center" shrinkToFit="1" indent="1"/>
    </xf>
    <xf numFmtId="0" fontId="79" fillId="0" borderId="0" applyAlignment="1" pivotButton="0" quotePrefix="0" xfId="0">
      <alignment horizontal="left" vertical="center" indent="1"/>
    </xf>
    <xf numFmtId="0" fontId="80" fillId="0" borderId="0" applyAlignment="1" pivotButton="0" quotePrefix="0" xfId="0">
      <alignment horizontal="center" vertical="center"/>
    </xf>
    <xf numFmtId="0" fontId="81" fillId="107" borderId="0" applyAlignment="1" pivotButton="0" quotePrefix="0" xfId="0">
      <alignment horizontal="center" vertical="center" wrapText="1"/>
    </xf>
    <xf numFmtId="0" fontId="81" fillId="81" borderId="0" applyAlignment="1" pivotButton="0" quotePrefix="0" xfId="0">
      <alignment horizontal="center" vertical="center" wrapText="1"/>
    </xf>
    <xf numFmtId="0" fontId="81" fillId="108" borderId="0" applyAlignment="1" pivotButton="0" quotePrefix="0" xfId="0">
      <alignment horizontal="center" vertical="center" wrapText="1"/>
    </xf>
    <xf numFmtId="0" fontId="81" fillId="64" borderId="0" applyAlignment="1" pivotButton="0" quotePrefix="0" xfId="0">
      <alignment horizontal="center" vertical="center" wrapText="1"/>
    </xf>
    <xf numFmtId="0" fontId="67" fillId="0" borderId="0" applyAlignment="1" pivotButton="0" quotePrefix="0" xfId="0">
      <alignment horizontal="center" vertical="center"/>
    </xf>
    <xf numFmtId="0" fontId="67" fillId="66" borderId="142" applyAlignment="1" pivotButton="0" quotePrefix="0" xfId="0">
      <alignment horizontal="center" vertical="center"/>
    </xf>
    <xf numFmtId="0" fontId="82" fillId="109" borderId="142" applyAlignment="1" pivotButton="0" quotePrefix="0" xfId="0">
      <alignment horizontal="center" vertical="center"/>
    </xf>
    <xf numFmtId="0" fontId="85" fillId="68" borderId="148" applyAlignment="1" pivotButton="0" quotePrefix="0" xfId="0">
      <alignment horizontal="center" vertical="center" wrapText="1"/>
    </xf>
    <xf numFmtId="0" fontId="83" fillId="110" borderId="143" applyAlignment="1" pivotButton="0" quotePrefix="0" xfId="0">
      <alignment horizontal="center" vertical="center"/>
    </xf>
    <xf numFmtId="0" fontId="0" fillId="111" borderId="143" pivotButton="0" quotePrefix="0" xfId="0"/>
    <xf numFmtId="0" fontId="81" fillId="68" borderId="143" applyAlignment="1" pivotButton="0" quotePrefix="0" xfId="0">
      <alignment horizontal="center" vertical="center" shrinkToFit="1"/>
    </xf>
    <xf numFmtId="0" fontId="0" fillId="68" borderId="146" pivotButton="0" quotePrefix="0" xfId="0"/>
    <xf numFmtId="0" fontId="0" fillId="68" borderId="147" pivotButton="0" quotePrefix="0" xfId="0"/>
    <xf numFmtId="0" fontId="81" fillId="68" borderId="153" applyAlignment="1" pivotButton="0" quotePrefix="0" xfId="0">
      <alignment horizontal="center" vertical="center" shrinkToFit="1"/>
    </xf>
    <xf numFmtId="0" fontId="0" fillId="68" borderId="148" pivotButton="0" quotePrefix="0" xfId="0"/>
    <xf numFmtId="0" fontId="72" fillId="112" borderId="143" applyAlignment="1" pivotButton="0" quotePrefix="0" xfId="0">
      <alignment horizontal="center" vertical="center" shrinkToFit="1"/>
    </xf>
    <xf numFmtId="0" fontId="72" fillId="112" borderId="153" applyAlignment="1" pivotButton="0" quotePrefix="0" xfId="0">
      <alignment horizontal="center" vertical="center" shrinkToFit="1"/>
    </xf>
    <xf numFmtId="0" fontId="84" fillId="113" borderId="143" applyAlignment="1" pivotButton="0" quotePrefix="0" xfId="0">
      <alignment horizontal="center" vertical="center" shrinkToFit="1"/>
    </xf>
    <xf numFmtId="0" fontId="0" fillId="113" borderId="146" pivotButton="0" quotePrefix="0" xfId="0"/>
    <xf numFmtId="0" fontId="0" fillId="113" borderId="147" pivotButton="0" quotePrefix="0" xfId="0"/>
    <xf numFmtId="0" fontId="84" fillId="113" borderId="153" applyAlignment="1" pivotButton="0" quotePrefix="0" xfId="0">
      <alignment horizontal="center" vertical="center" shrinkToFit="1"/>
    </xf>
    <xf numFmtId="0" fontId="84" fillId="114" borderId="143" applyAlignment="1" pivotButton="0" quotePrefix="0" xfId="0">
      <alignment horizontal="center" vertical="center" shrinkToFit="1"/>
    </xf>
    <xf numFmtId="0" fontId="0" fillId="114" borderId="146" pivotButton="0" quotePrefix="0" xfId="0"/>
    <xf numFmtId="0" fontId="0" fillId="114" borderId="147" pivotButton="0" quotePrefix="0" xfId="0"/>
    <xf numFmtId="0" fontId="84" fillId="114" borderId="153" applyAlignment="1" pivotButton="0" quotePrefix="0" xfId="0">
      <alignment horizontal="center" vertical="center" shrinkToFit="1"/>
    </xf>
    <xf numFmtId="0" fontId="0" fillId="68" borderId="149" pivotButton="0" quotePrefix="0" xfId="0"/>
    <xf numFmtId="0" fontId="83" fillId="110" borderId="150" applyAlignment="1" pivotButton="0" quotePrefix="0" xfId="0">
      <alignment horizontal="center" vertical="center"/>
    </xf>
    <xf numFmtId="0" fontId="0" fillId="111" borderId="150" pivotButton="0" quotePrefix="0" xfId="0"/>
    <xf numFmtId="0" fontId="80" fillId="115" borderId="154" applyAlignment="1" pivotButton="0" quotePrefix="0" xfId="0">
      <alignment horizontal="center" vertical="center" shrinkToFit="1"/>
    </xf>
    <xf numFmtId="0" fontId="0" fillId="115" borderId="151" pivotButton="0" quotePrefix="0" xfId="0"/>
    <xf numFmtId="0" fontId="0" fillId="115" borderId="152" pivotButton="0" quotePrefix="0" xfId="0"/>
    <xf numFmtId="0" fontId="85" fillId="69" borderId="148" applyAlignment="1" pivotButton="0" quotePrefix="0" xfId="0">
      <alignment horizontal="center" vertical="center" wrapText="1"/>
    </xf>
    <xf numFmtId="0" fontId="86" fillId="116" borderId="143" applyAlignment="1" pivotButton="0" quotePrefix="0" xfId="0">
      <alignment horizontal="center" vertical="center"/>
    </xf>
    <xf numFmtId="0" fontId="81" fillId="69" borderId="143" applyAlignment="1" pivotButton="0" quotePrefix="0" xfId="0">
      <alignment horizontal="center" vertical="center" shrinkToFit="1"/>
    </xf>
    <xf numFmtId="0" fontId="0" fillId="69" borderId="146" pivotButton="0" quotePrefix="0" xfId="0"/>
    <xf numFmtId="0" fontId="0" fillId="69" borderId="147" pivotButton="0" quotePrefix="0" xfId="0"/>
    <xf numFmtId="0" fontId="81" fillId="69" borderId="153" applyAlignment="1" pivotButton="0" quotePrefix="0" xfId="0">
      <alignment horizontal="center" vertical="center" shrinkToFit="1"/>
    </xf>
    <xf numFmtId="0" fontId="0" fillId="69" borderId="148" pivotButton="0" quotePrefix="0" xfId="0"/>
    <xf numFmtId="0" fontId="72" fillId="117" borderId="143" applyAlignment="1" pivotButton="0" quotePrefix="0" xfId="0">
      <alignment horizontal="center" vertical="center" shrinkToFit="1"/>
    </xf>
    <xf numFmtId="0" fontId="72" fillId="117" borderId="153" applyAlignment="1" pivotButton="0" quotePrefix="0" xfId="0">
      <alignment horizontal="center" vertical="center" shrinkToFit="1"/>
    </xf>
    <xf numFmtId="0" fontId="84" fillId="118" borderId="143" applyAlignment="1" pivotButton="0" quotePrefix="0" xfId="0">
      <alignment horizontal="center" vertical="center" shrinkToFit="1"/>
    </xf>
    <xf numFmtId="0" fontId="0" fillId="118" borderId="146" pivotButton="0" quotePrefix="0" xfId="0"/>
    <xf numFmtId="0" fontId="0" fillId="118" borderId="147" pivotButton="0" quotePrefix="0" xfId="0"/>
    <xf numFmtId="0" fontId="84" fillId="118" borderId="153" applyAlignment="1" pivotButton="0" quotePrefix="0" xfId="0">
      <alignment horizontal="center" vertical="center" shrinkToFit="1"/>
    </xf>
    <xf numFmtId="0" fontId="80" fillId="119" borderId="153" applyAlignment="1" pivotButton="0" quotePrefix="0" xfId="0">
      <alignment horizontal="center" vertical="center" shrinkToFit="1"/>
    </xf>
    <xf numFmtId="0" fontId="0" fillId="119" borderId="146" pivotButton="0" quotePrefix="0" xfId="0"/>
    <xf numFmtId="0" fontId="0" fillId="119" borderId="147" pivotButton="0" quotePrefix="0" xfId="0"/>
    <xf numFmtId="0" fontId="0" fillId="69" borderId="149" pivotButton="0" quotePrefix="0" xfId="0"/>
    <xf numFmtId="0" fontId="86" fillId="116" borderId="150" applyAlignment="1" pivotButton="0" quotePrefix="0" xfId="0">
      <alignment horizontal="center" vertical="center"/>
    </xf>
    <xf numFmtId="0" fontId="80" fillId="119" borderId="154" applyAlignment="1" pivotButton="0" quotePrefix="0" xfId="0">
      <alignment horizontal="center" vertical="center" shrinkToFit="1"/>
    </xf>
    <xf numFmtId="0" fontId="0" fillId="119" borderId="151" pivotButton="0" quotePrefix="0" xfId="0"/>
    <xf numFmtId="0" fontId="0" fillId="119" borderId="152" pivotButton="0" quotePrefix="0" xfId="0"/>
    <xf numFmtId="0" fontId="85" fillId="70" borderId="148" applyAlignment="1" pivotButton="0" quotePrefix="0" xfId="0">
      <alignment horizontal="center" vertical="center" wrapText="1"/>
    </xf>
    <xf numFmtId="0" fontId="87" fillId="120" borderId="143" applyAlignment="1" pivotButton="0" quotePrefix="0" xfId="0">
      <alignment horizontal="center" vertical="center"/>
    </xf>
    <xf numFmtId="0" fontId="81" fillId="70" borderId="143" applyAlignment="1" pivotButton="0" quotePrefix="0" xfId="0">
      <alignment horizontal="center" vertical="center" shrinkToFit="1"/>
    </xf>
    <xf numFmtId="0" fontId="0" fillId="70" borderId="146" pivotButton="0" quotePrefix="0" xfId="0"/>
    <xf numFmtId="0" fontId="0" fillId="70" borderId="147" pivotButton="0" quotePrefix="0" xfId="0"/>
    <xf numFmtId="0" fontId="81" fillId="70" borderId="153" applyAlignment="1" pivotButton="0" quotePrefix="0" xfId="0">
      <alignment horizontal="center" vertical="center" shrinkToFit="1"/>
    </xf>
    <xf numFmtId="0" fontId="0" fillId="70" borderId="148" pivotButton="0" quotePrefix="0" xfId="0"/>
    <xf numFmtId="0" fontId="72" fillId="121" borderId="143" applyAlignment="1" pivotButton="0" quotePrefix="0" xfId="0">
      <alignment horizontal="center" vertical="center" shrinkToFit="1"/>
    </xf>
    <xf numFmtId="0" fontId="72" fillId="121" borderId="153" applyAlignment="1" pivotButton="0" quotePrefix="0" xfId="0">
      <alignment horizontal="center" vertical="center" shrinkToFit="1"/>
    </xf>
    <xf numFmtId="0" fontId="84" fillId="122" borderId="143" applyAlignment="1" pivotButton="0" quotePrefix="0" xfId="0">
      <alignment horizontal="center" vertical="center" shrinkToFit="1"/>
    </xf>
    <xf numFmtId="0" fontId="0" fillId="122" borderId="146" pivotButton="0" quotePrefix="0" xfId="0"/>
    <xf numFmtId="0" fontId="0" fillId="122" borderId="147" pivotButton="0" quotePrefix="0" xfId="0"/>
    <xf numFmtId="0" fontId="0" fillId="111" borderId="153" pivotButton="0" quotePrefix="0" xfId="0"/>
    <xf numFmtId="0" fontId="0" fillId="70" borderId="149" pivotButton="0" quotePrefix="0" xfId="0"/>
    <xf numFmtId="0" fontId="87" fillId="120" borderId="150" applyAlignment="1" pivotButton="0" quotePrefix="0" xfId="0">
      <alignment horizontal="center" vertical="center"/>
    </xf>
    <xf numFmtId="0" fontId="80" fillId="123" borderId="154" applyAlignment="1" pivotButton="0" quotePrefix="0" xfId="0">
      <alignment horizontal="center" vertical="center" shrinkToFit="1"/>
    </xf>
    <xf numFmtId="0" fontId="0" fillId="123" borderId="151" pivotButton="0" quotePrefix="0" xfId="0"/>
    <xf numFmtId="0" fontId="0" fillId="123" borderId="152" pivotButton="0" quotePrefix="0" xfId="0"/>
    <xf numFmtId="0" fontId="85" fillId="71" borderId="148" applyAlignment="1" pivotButton="0" quotePrefix="0" xfId="0">
      <alignment horizontal="center" vertical="center" wrapText="1"/>
    </xf>
    <xf numFmtId="0" fontId="88" fillId="124" borderId="143" applyAlignment="1" pivotButton="0" quotePrefix="0" xfId="0">
      <alignment horizontal="center" vertical="center"/>
    </xf>
    <xf numFmtId="0" fontId="81" fillId="71" borderId="143" applyAlignment="1" pivotButton="0" quotePrefix="0" xfId="0">
      <alignment horizontal="center" vertical="center" shrinkToFit="1"/>
    </xf>
    <xf numFmtId="0" fontId="0" fillId="71" borderId="146" pivotButton="0" quotePrefix="0" xfId="0"/>
    <xf numFmtId="0" fontId="0" fillId="71" borderId="147" pivotButton="0" quotePrefix="0" xfId="0"/>
    <xf numFmtId="0" fontId="81" fillId="71" borderId="153" applyAlignment="1" pivotButton="0" quotePrefix="0" xfId="0">
      <alignment horizontal="center" vertical="center" shrinkToFit="1"/>
    </xf>
    <xf numFmtId="0" fontId="0" fillId="71" borderId="148" pivotButton="0" quotePrefix="0" xfId="0"/>
    <xf numFmtId="0" fontId="72" fillId="125" borderId="143" applyAlignment="1" pivotButton="0" quotePrefix="0" xfId="0">
      <alignment horizontal="center" vertical="center" shrinkToFit="1"/>
    </xf>
    <xf numFmtId="0" fontId="72" fillId="125" borderId="153" applyAlignment="1" pivotButton="0" quotePrefix="0" xfId="0">
      <alignment horizontal="center" vertical="center" shrinkToFit="1"/>
    </xf>
    <xf numFmtId="0" fontId="84" fillId="126" borderId="143" applyAlignment="1" pivotButton="0" quotePrefix="0" xfId="0">
      <alignment horizontal="center" vertical="center" shrinkToFit="1"/>
    </xf>
    <xf numFmtId="0" fontId="0" fillId="126" borderId="146" pivotButton="0" quotePrefix="0" xfId="0"/>
    <xf numFmtId="0" fontId="0" fillId="126" borderId="147" pivotButton="0" quotePrefix="0" xfId="0"/>
    <xf numFmtId="0" fontId="84" fillId="126" borderId="153" applyAlignment="1" pivotButton="0" quotePrefix="0" xfId="0">
      <alignment horizontal="center" vertical="center" shrinkToFit="1"/>
    </xf>
    <xf numFmtId="0" fontId="0" fillId="71" borderId="149" pivotButton="0" quotePrefix="0" xfId="0"/>
    <xf numFmtId="0" fontId="88" fillId="124" borderId="150" applyAlignment="1" pivotButton="0" quotePrefix="0" xfId="0">
      <alignment horizontal="center" vertical="center"/>
    </xf>
    <xf numFmtId="0" fontId="80" fillId="127" borderId="154" applyAlignment="1" pivotButton="0" quotePrefix="0" xfId="0">
      <alignment horizontal="center" vertical="center" shrinkToFit="1"/>
    </xf>
    <xf numFmtId="0" fontId="0" fillId="127" borderId="151" pivotButton="0" quotePrefix="0" xfId="0"/>
    <xf numFmtId="0" fontId="0" fillId="127" borderId="152" pivotButton="0" quotePrefix="0" xfId="0"/>
    <xf numFmtId="0" fontId="85" fillId="72" borderId="148" applyAlignment="1" pivotButton="0" quotePrefix="0" xfId="0">
      <alignment horizontal="center" vertical="center" wrapText="1"/>
    </xf>
    <xf numFmtId="0" fontId="89" fillId="128" borderId="143" applyAlignment="1" pivotButton="0" quotePrefix="0" xfId="0">
      <alignment horizontal="center" vertical="center"/>
    </xf>
    <xf numFmtId="0" fontId="81" fillId="72" borderId="143" applyAlignment="1" pivotButton="0" quotePrefix="0" xfId="0">
      <alignment horizontal="center" vertical="center" shrinkToFit="1"/>
    </xf>
    <xf numFmtId="0" fontId="0" fillId="72" borderId="146" pivotButton="0" quotePrefix="0" xfId="0"/>
    <xf numFmtId="0" fontId="0" fillId="72" borderId="147" pivotButton="0" quotePrefix="0" xfId="0"/>
    <xf numFmtId="0" fontId="81" fillId="72" borderId="153" applyAlignment="1" pivotButton="0" quotePrefix="0" xfId="0">
      <alignment horizontal="center" vertical="center" shrinkToFit="1"/>
    </xf>
    <xf numFmtId="0" fontId="0" fillId="72" borderId="148" pivotButton="0" quotePrefix="0" xfId="0"/>
    <xf numFmtId="0" fontId="72" fillId="129" borderId="143" applyAlignment="1" pivotButton="0" quotePrefix="0" xfId="0">
      <alignment horizontal="center" vertical="center" shrinkToFit="1"/>
    </xf>
    <xf numFmtId="0" fontId="72" fillId="129" borderId="153" applyAlignment="1" pivotButton="0" quotePrefix="0" xfId="0">
      <alignment horizontal="center" vertical="center" shrinkToFit="1"/>
    </xf>
    <xf numFmtId="0" fontId="84" fillId="130" borderId="143" applyAlignment="1" pivotButton="0" quotePrefix="0" xfId="0">
      <alignment horizontal="center" vertical="center" shrinkToFit="1"/>
    </xf>
    <xf numFmtId="0" fontId="0" fillId="130" borderId="146" pivotButton="0" quotePrefix="0" xfId="0"/>
    <xf numFmtId="0" fontId="0" fillId="130" borderId="147" pivotButton="0" quotePrefix="0" xfId="0"/>
    <xf numFmtId="0" fontId="84" fillId="130" borderId="153" applyAlignment="1" pivotButton="0" quotePrefix="0" xfId="0">
      <alignment horizontal="center" vertical="center" shrinkToFit="1"/>
    </xf>
    <xf numFmtId="0" fontId="0" fillId="72" borderId="149" pivotButton="0" quotePrefix="0" xfId="0"/>
    <xf numFmtId="0" fontId="89" fillId="128" borderId="150" applyAlignment="1" pivotButton="0" quotePrefix="0" xfId="0">
      <alignment horizontal="center" vertical="center"/>
    </xf>
    <xf numFmtId="0" fontId="80" fillId="131" borderId="154" applyAlignment="1" pivotButton="0" quotePrefix="0" xfId="0">
      <alignment horizontal="center" vertical="center" shrinkToFit="1"/>
    </xf>
    <xf numFmtId="0" fontId="0" fillId="131" borderId="151" pivotButton="0" quotePrefix="0" xfId="0"/>
    <xf numFmtId="0" fontId="0" fillId="131" borderId="152" pivotButton="0" quotePrefix="0" xfId="0"/>
    <xf numFmtId="0" fontId="85" fillId="73" borderId="148" applyAlignment="1" pivotButton="0" quotePrefix="0" xfId="0">
      <alignment horizontal="center" vertical="center" wrapText="1"/>
    </xf>
    <xf numFmtId="0" fontId="90" fillId="132" borderId="143" applyAlignment="1" pivotButton="0" quotePrefix="0" xfId="0">
      <alignment horizontal="center" vertical="center"/>
    </xf>
    <xf numFmtId="0" fontId="81" fillId="73" borderId="143" applyAlignment="1" pivotButton="0" quotePrefix="0" xfId="0">
      <alignment horizontal="center" vertical="center" shrinkToFit="1"/>
    </xf>
    <xf numFmtId="0" fontId="0" fillId="73" borderId="146" pivotButton="0" quotePrefix="0" xfId="0"/>
    <xf numFmtId="0" fontId="0" fillId="73" borderId="147" pivotButton="0" quotePrefix="0" xfId="0"/>
    <xf numFmtId="0" fontId="81" fillId="73" borderId="153" applyAlignment="1" pivotButton="0" quotePrefix="0" xfId="0">
      <alignment horizontal="center" vertical="center" shrinkToFit="1"/>
    </xf>
    <xf numFmtId="0" fontId="0" fillId="73" borderId="148" pivotButton="0" quotePrefix="0" xfId="0"/>
    <xf numFmtId="0" fontId="72" fillId="133" borderId="143" applyAlignment="1" pivotButton="0" quotePrefix="0" xfId="0">
      <alignment horizontal="center" vertical="center" shrinkToFit="1"/>
    </xf>
    <xf numFmtId="0" fontId="72" fillId="133" borderId="153" applyAlignment="1" pivotButton="0" quotePrefix="0" xfId="0">
      <alignment horizontal="center" vertical="center" shrinkToFit="1"/>
    </xf>
    <xf numFmtId="0" fontId="0" fillId="73" borderId="149" pivotButton="0" quotePrefix="0" xfId="0"/>
    <xf numFmtId="0" fontId="90" fillId="132" borderId="150" applyAlignment="1" pivotButton="0" quotePrefix="0" xfId="0">
      <alignment horizontal="center" vertical="center"/>
    </xf>
    <xf numFmtId="0" fontId="80" fillId="134" borderId="154" applyAlignment="1" pivotButton="0" quotePrefix="0" xfId="0">
      <alignment horizontal="center" vertical="center" shrinkToFit="1"/>
    </xf>
    <xf numFmtId="0" fontId="0" fillId="134" borderId="151" pivotButton="0" quotePrefix="0" xfId="0"/>
    <xf numFmtId="0" fontId="0" fillId="134" borderId="152" pivotButton="0" quotePrefix="0" xfId="0"/>
    <xf numFmtId="0" fontId="85" fillId="77" borderId="149" applyAlignment="1" pivotButton="0" quotePrefix="0" xfId="0">
      <alignment horizontal="center" vertical="center" wrapText="1"/>
    </xf>
    <xf numFmtId="0" fontId="91" fillId="135" borderId="150" applyAlignment="1" pivotButton="0" quotePrefix="0" xfId="0">
      <alignment horizontal="center" vertical="center"/>
    </xf>
    <xf numFmtId="0" fontId="80" fillId="136" borderId="154" applyAlignment="1" pivotButton="0" quotePrefix="0" xfId="0">
      <alignment horizontal="center" vertical="center" shrinkToFit="1"/>
    </xf>
    <xf numFmtId="0" fontId="0" fillId="136" borderId="151" pivotButton="0" quotePrefix="0" xfId="0"/>
    <xf numFmtId="0" fontId="0" fillId="136" borderId="152" pivotButton="0" quotePrefix="0" xfId="0"/>
    <xf numFmtId="0" fontId="85" fillId="78" borderId="149" applyAlignment="1" pivotButton="0" quotePrefix="0" xfId="0">
      <alignment horizontal="center" vertical="center" wrapText="1"/>
    </xf>
    <xf numFmtId="0" fontId="92" fillId="137" borderId="150" applyAlignment="1" pivotButton="0" quotePrefix="0" xfId="0">
      <alignment horizontal="center" vertical="center"/>
    </xf>
    <xf numFmtId="0" fontId="80" fillId="138" borderId="154" applyAlignment="1" pivotButton="0" quotePrefix="0" xfId="0">
      <alignment horizontal="center" vertical="center" shrinkToFit="1"/>
    </xf>
    <xf numFmtId="0" fontId="0" fillId="138" borderId="151" pivotButton="0" quotePrefix="0" xfId="0"/>
    <xf numFmtId="0" fontId="0" fillId="138" borderId="152" pivotButton="0" quotePrefix="0" xfId="0"/>
    <xf numFmtId="0" fontId="64" fillId="79" borderId="148" applyAlignment="1" pivotButton="0" quotePrefix="0" xfId="0">
      <alignment horizontal="center" vertical="center" wrapText="1"/>
    </xf>
    <xf numFmtId="0" fontId="93" fillId="139" borderId="143" applyAlignment="1" pivotButton="0" quotePrefix="0" xfId="0">
      <alignment horizontal="center" vertical="center"/>
    </xf>
    <xf numFmtId="0" fontId="80" fillId="140" borderId="153" applyAlignment="1" pivotButton="0" quotePrefix="0" xfId="0">
      <alignment horizontal="center" vertical="center" shrinkToFit="1"/>
    </xf>
    <xf numFmtId="0" fontId="0" fillId="140" borderId="146" pivotButton="0" quotePrefix="0" xfId="0"/>
    <xf numFmtId="0" fontId="0" fillId="140" borderId="147" pivotButton="0" quotePrefix="0" xfId="0"/>
    <xf numFmtId="0" fontId="0" fillId="79" borderId="149" pivotButton="0" quotePrefix="0" xfId="0"/>
    <xf numFmtId="0" fontId="93" fillId="139" borderId="150" applyAlignment="1" pivotButton="0" quotePrefix="0" xfId="0">
      <alignment horizontal="center" vertical="center"/>
    </xf>
    <xf numFmtId="0" fontId="80" fillId="140" borderId="154" applyAlignment="1" pivotButton="0" quotePrefix="0" xfId="0">
      <alignment horizontal="center" vertical="center" shrinkToFit="1"/>
    </xf>
    <xf numFmtId="0" fontId="0" fillId="140" borderId="151" pivotButton="0" quotePrefix="0" xfId="0"/>
    <xf numFmtId="0" fontId="0" fillId="140" borderId="152" pivotButton="0" quotePrefix="0" xfId="0"/>
    <xf numFmtId="0" fontId="63" fillId="0" borderId="0" pivotButton="0" quotePrefix="0" xfId="0"/>
    <xf numFmtId="0" fontId="63" fillId="0" borderId="0" applyAlignment="1" pivotButton="0" quotePrefix="0" xfId="0">
      <alignment horizontal="right"/>
    </xf>
    <xf numFmtId="0" fontId="23" fillId="5" borderId="37" applyAlignment="1" pivotButton="0" quotePrefix="0" xfId="0">
      <alignment horizontal="left" vertical="center"/>
    </xf>
    <xf numFmtId="165" fontId="24" fillId="35" borderId="3" applyAlignment="1" pivotButton="0" quotePrefix="0" xfId="0">
      <alignment vertical="center"/>
    </xf>
    <xf numFmtId="165" fontId="24" fillId="35" borderId="11" applyAlignment="1" pivotButton="0" quotePrefix="0" xfId="0">
      <alignment vertical="center"/>
    </xf>
    <xf numFmtId="165" fontId="16" fillId="35" borderId="3" applyAlignment="1" pivotButton="0" quotePrefix="0" xfId="0">
      <alignment horizontal="center" vertical="center"/>
    </xf>
    <xf numFmtId="165" fontId="16" fillId="35" borderId="11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9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left" vertical="top" wrapText="1"/>
    </xf>
    <xf numFmtId="0" fontId="0" fillId="0" borderId="2" pivotButton="0" quotePrefix="0" xfId="0"/>
    <xf numFmtId="0" fontId="0" fillId="0" borderId="41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2" pivotButton="0" quotePrefix="0" xfId="0"/>
    <xf numFmtId="0" fontId="0" fillId="0" borderId="43" pivotButton="0" quotePrefix="0" xfId="0"/>
    <xf numFmtId="0" fontId="0" fillId="0" borderId="44" pivotButton="0" quotePrefix="0" xfId="0"/>
    <xf numFmtId="0" fontId="0" fillId="0" borderId="133" pivotButton="0" quotePrefix="0" xfId="0"/>
    <xf numFmtId="0" fontId="0" fillId="0" borderId="134" pivotButton="0" quotePrefix="0" xfId="0"/>
    <xf numFmtId="0" fontId="0" fillId="0" borderId="129" pivotButton="0" quotePrefix="0" xfId="0"/>
    <xf numFmtId="0" fontId="0" fillId="0" borderId="130" pivotButton="0" quotePrefix="0" xfId="0"/>
    <xf numFmtId="0" fontId="0" fillId="0" borderId="131" pivotButton="0" quotePrefix="0" xfId="0"/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16" fillId="0" borderId="62" applyAlignment="1" pivotButton="0" quotePrefix="0" xfId="0">
      <alignment horizontal="left" vertical="top" wrapText="1"/>
    </xf>
    <xf numFmtId="0" fontId="23" fillId="38" borderId="37" applyAlignment="1" pivotButton="0" quotePrefix="0" xfId="0">
      <alignment horizontal="left" vertical="center"/>
    </xf>
    <xf numFmtId="0" fontId="17" fillId="0" borderId="62" applyAlignment="1" pivotButton="0" quotePrefix="0" xfId="0">
      <alignment horizontal="left" vertical="top" wrapText="1"/>
    </xf>
    <xf numFmtId="164" fontId="16" fillId="35" borderId="35" applyAlignment="1" pivotButton="0" quotePrefix="0" xfId="0">
      <alignment horizontal="center" vertical="center"/>
    </xf>
    <xf numFmtId="0" fontId="57" fillId="0" borderId="104" applyAlignment="1" pivotButton="0" quotePrefix="0" xfId="0">
      <alignment horizontal="center" vertical="center" wrapText="1"/>
    </xf>
    <xf numFmtId="0" fontId="64" fillId="64" borderId="0" applyAlignment="1" pivotButton="0" quotePrefix="0" xfId="0">
      <alignment horizontal="center" vertical="center" wrapText="1"/>
    </xf>
    <xf numFmtId="0" fontId="70" fillId="0" borderId="0" applyAlignment="1" pivotButton="0" quotePrefix="0" xfId="0">
      <alignment vertical="top" wrapText="1"/>
    </xf>
    <xf numFmtId="0" fontId="69" fillId="0" borderId="137" applyAlignment="1" pivotButton="0" quotePrefix="0" xfId="0">
      <alignment vertical="center"/>
    </xf>
    <xf numFmtId="165" fontId="69" fillId="0" borderId="137" applyAlignment="1" pivotButton="0" quotePrefix="0" xfId="0">
      <alignment horizontal="center"/>
    </xf>
    <xf numFmtId="0" fontId="67" fillId="67" borderId="137" applyAlignment="1" pivotButton="0" quotePrefix="0" xfId="0">
      <alignment horizontal="center"/>
    </xf>
    <xf numFmtId="0" fontId="0" fillId="67" borderId="0" pivotButton="0" quotePrefix="0" xfId="0"/>
    <xf numFmtId="0" fontId="71" fillId="0" borderId="137" applyAlignment="1" pivotButton="0" quotePrefix="0" xfId="0">
      <alignment vertical="center"/>
    </xf>
    <xf numFmtId="0" fontId="61" fillId="0" borderId="0" pivotButton="0" quotePrefix="0" xfId="0"/>
    <xf numFmtId="0" fontId="64" fillId="65" borderId="0" applyAlignment="1" pivotButton="0" quotePrefix="0" xfId="0">
      <alignment horizontal="center" vertical="center" wrapText="1"/>
    </xf>
    <xf numFmtId="0" fontId="64" fillId="81" borderId="0" applyAlignment="1" pivotButton="0" quotePrefix="0" xfId="0">
      <alignment horizontal="center" vertical="center" wrapText="1"/>
    </xf>
    <xf numFmtId="0" fontId="72" fillId="0" borderId="140" applyAlignment="1" pivotButton="0" quotePrefix="0" xfId="0">
      <alignment vertical="center"/>
    </xf>
    <xf numFmtId="0" fontId="72" fillId="0" borderId="137" applyAlignment="1" pivotButton="0" quotePrefix="0" xfId="0">
      <alignment vertical="center"/>
    </xf>
  </cellXfs>
  <cellStyles count="1">
    <cellStyle name="標準" xfId="0" builtinId="0"/>
  </cellStyles>
  <dxfs count="169">
    <dxf>
      <font>
        <color rgb="FFBEC3CD"/>
      </font>
    </dxf>
    <dxf>
      <font>
        <color rgb="FF1E8A4A"/>
      </font>
    </dxf>
    <dxf>
      <font>
        <color rgb="FFC81E1E"/>
      </font>
    </dxf>
    <dxf>
      <font>
        <color rgb="FF1E8A4A"/>
      </font>
    </dxf>
    <dxf>
      <font>
        <color rgb="FFC81E1E"/>
      </font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7358F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28CA0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A08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2896A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A064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BE6E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280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4696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5CAC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EA83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8735A"/>
        </patternFill>
      </fill>
    </dxf>
    <dxf>
      <font>
        <color rgb="FFC81E1E"/>
      </font>
    </dxf>
    <dxf>
      <font>
        <b val="1"/>
        <color rgb="00FFFFFF"/>
      </font>
      <fill>
        <patternFill patternType="solid">
          <bgColor rgb="00E8735A"/>
        </patternFill>
      </fill>
    </dxf>
    <dxf>
      <font>
        <b val="1"/>
        <color rgb="00C81E1E"/>
      </font>
      <fill>
        <patternFill patternType="solid">
          <bgColor rgb="00FFCDCD"/>
        </patternFill>
      </fill>
    </dxf>
    <dxf>
      <font>
        <color rgb="00BEC3CD"/>
      </font>
    </dxf>
    <dxf>
      <font>
        <color rgb="009AA0AE"/>
      </font>
      <fill>
        <patternFill patternType="solid">
          <bgColor rgb="00F4F5F8"/>
        </patternFill>
      </fill>
    </dxf>
    <dxf>
      <fill>
        <patternFill patternType="solid">
          <bgColor rgb="00F5C0B5"/>
        </patternFill>
      </fill>
    </dxf>
    <dxf>
      <fill>
        <patternFill patternType="solid">
          <bgColor rgb="00FAE5CB"/>
        </patternFill>
      </fill>
    </dxf>
    <dxf>
      <font>
        <b val="1"/>
        <color rgb="001E8A4A"/>
      </font>
    </dxf>
    <dxf>
      <fill>
        <patternFill patternType="solid">
          <bgColor rgb="00F9DCD6"/>
        </patternFill>
      </fill>
    </dxf>
    <dxf>
      <font>
        <color rgb="00C81E1E"/>
      </font>
    </dxf>
    <dxf>
      <font>
        <b val="1"/>
        <color rgb="00FFFFFF"/>
      </font>
      <fill>
        <patternFill patternType="solid">
          <bgColor rgb="00EEA832"/>
        </patternFill>
      </fill>
    </dxf>
    <dxf>
      <fill>
        <patternFill patternType="solid">
          <bgColor rgb="00F7D8A3"/>
        </patternFill>
      </fill>
    </dxf>
    <dxf>
      <fill>
        <patternFill patternType="solid">
          <bgColor rgb="00FBE9CC"/>
        </patternFill>
      </fill>
    </dxf>
    <dxf>
      <font>
        <b val="1"/>
        <color rgb="00FFFFFF"/>
      </font>
      <fill>
        <patternFill patternType="solid">
          <bgColor rgb="005CAC4A"/>
        </patternFill>
      </fill>
    </dxf>
    <dxf>
      <fill>
        <patternFill patternType="solid">
          <bgColor rgb="00B6DAAE"/>
        </patternFill>
      </fill>
    </dxf>
    <dxf>
      <fill>
        <patternFill patternType="solid">
          <bgColor rgb="00D6EAD2"/>
        </patternFill>
      </fill>
    </dxf>
    <dxf>
      <font>
        <b val="1"/>
        <color rgb="00FFFFFF"/>
      </font>
      <fill>
        <patternFill patternType="solid">
          <bgColor rgb="00469646"/>
        </patternFill>
      </fill>
    </dxf>
    <dxf>
      <fill>
        <patternFill patternType="solid">
          <bgColor rgb="00ACD0AC"/>
        </patternFill>
      </fill>
    </dxf>
    <dxf>
      <fill>
        <patternFill patternType="solid">
          <bgColor rgb="00D1E5D1"/>
        </patternFill>
      </fill>
    </dxf>
    <dxf>
      <font>
        <b val="1"/>
        <color rgb="00FFFFFF"/>
      </font>
      <fill>
        <patternFill patternType="solid">
          <bgColor rgb="00328046"/>
        </patternFill>
      </fill>
    </dxf>
    <dxf>
      <fill>
        <patternFill patternType="solid">
          <bgColor rgb="00A3C6AC"/>
        </patternFill>
      </fill>
    </dxf>
    <dxf>
      <fill>
        <patternFill patternType="solid">
          <bgColor rgb="00CCDFD1"/>
        </patternFill>
      </fill>
    </dxf>
    <dxf>
      <font>
        <b val="1"/>
        <color rgb="00FFFFFF"/>
      </font>
      <fill>
        <patternFill patternType="solid">
          <bgColor rgb="00BE6EBE"/>
        </patternFill>
      </fill>
    </dxf>
    <dxf>
      <fill>
        <patternFill patternType="solid">
          <bgColor rgb="00E2BEE2"/>
        </patternFill>
      </fill>
    </dxf>
    <dxf>
      <fill>
        <patternFill patternType="solid">
          <bgColor rgb="00EFDBEF"/>
        </patternFill>
      </fill>
    </dxf>
    <dxf>
      <font>
        <b val="1"/>
        <color rgb="00FFFFFF"/>
      </font>
      <fill>
        <patternFill patternType="solid">
          <bgColor rgb="00A064BE"/>
        </patternFill>
      </fill>
    </dxf>
    <dxf>
      <fill>
        <patternFill patternType="solid">
          <bgColor rgb="00D4B9E2"/>
        </patternFill>
      </fill>
    </dxf>
    <dxf>
      <fill>
        <patternFill patternType="solid">
          <bgColor rgb="00E7D8EF"/>
        </patternFill>
      </fill>
    </dxf>
    <dxf>
      <font>
        <b val="1"/>
        <color rgb="00FFFFFF"/>
      </font>
      <fill>
        <patternFill patternType="solid">
          <bgColor rgb="008C78C8"/>
        </patternFill>
      </fill>
    </dxf>
    <dxf>
      <fill>
        <patternFill patternType="solid">
          <bgColor rgb="00CBC2E6"/>
        </patternFill>
      </fill>
    </dxf>
    <dxf>
      <fill>
        <patternFill patternType="solid">
          <bgColor rgb="00E2DDF1"/>
        </patternFill>
      </fill>
    </dxf>
    <dxf>
      <font>
        <b val="1"/>
        <color rgb="00FFFFFF"/>
      </font>
      <fill>
        <patternFill patternType="solid">
          <bgColor rgb="003C78C8"/>
        </patternFill>
      </fill>
    </dxf>
    <dxf>
      <fill>
        <patternFill patternType="solid">
          <bgColor rgb="00A7C2E6"/>
        </patternFill>
      </fill>
    </dxf>
    <dxf>
      <fill>
        <patternFill patternType="solid">
          <bgColor rgb="00CEDDF1"/>
        </patternFill>
      </fill>
    </dxf>
    <dxf>
      <font>
        <b val="1"/>
        <color rgb="00FFFFFF"/>
      </font>
      <fill>
        <patternFill patternType="solid">
          <bgColor rgb="002896AA"/>
        </patternFill>
      </fill>
    </dxf>
    <dxf>
      <fill>
        <patternFill patternType="solid">
          <bgColor rgb="009ED0D9"/>
        </patternFill>
      </fill>
    </dxf>
    <dxf>
      <fill>
        <patternFill patternType="solid">
          <bgColor rgb="00C9E5EA"/>
        </patternFill>
      </fill>
    </dxf>
    <dxf>
      <font>
        <b val="1"/>
        <color rgb="00FFFFFF"/>
      </font>
      <fill>
        <patternFill patternType="solid">
          <bgColor rgb="003CA082"/>
        </patternFill>
      </fill>
    </dxf>
    <dxf>
      <fill>
        <patternFill patternType="solid">
          <bgColor rgb="00A7D4C7"/>
        </patternFill>
      </fill>
    </dxf>
    <dxf>
      <fill>
        <patternFill patternType="solid">
          <bgColor rgb="00CEE7E0"/>
        </patternFill>
      </fill>
    </dxf>
    <dxf>
      <font>
        <b val="1"/>
        <color rgb="00FFFFFF"/>
      </font>
      <fill>
        <patternFill patternType="solid">
          <bgColor rgb="00828CA0"/>
        </patternFill>
      </fill>
    </dxf>
    <dxf>
      <fill>
        <patternFill patternType="solid">
          <bgColor rgb="00C7CBD4"/>
        </patternFill>
      </fill>
    </dxf>
    <dxf>
      <fill>
        <patternFill patternType="solid">
          <bgColor rgb="00E0E2E7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</xdr:colOff>
      <xdr:row>3</xdr:row>
      <xdr:rowOff>19050</xdr:rowOff>
    </xdr:from>
    <xdr:to>
      <xdr:col>8</xdr:col>
      <xdr:colOff>0</xdr:colOff>
      <xdr:row>6</xdr:row>
      <xdr:rowOff>0</xdr:rowOff>
    </xdr:to>
    <xdr:sp macro="ApplyRecommended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2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  <xdr:twoCellAnchor editAs="absolute">
    <xdr:from>
      <xdr:col>5</xdr:col>
      <xdr:colOff>38100</xdr:colOff>
      <xdr:row>7</xdr:row>
      <xdr:rowOff>19050</xdr:rowOff>
    </xdr:from>
    <xdr:to>
      <xdr:col>8</xdr:col>
      <xdr:colOff>0</xdr:colOff>
      <xdr:row>9</xdr:row>
      <xdr:rowOff>0</xdr:rowOff>
    </xdr:to>
    <xdr:sp macro="PrintHandout" textlink="">
      <xdr:nvSpPr>
        <xdr:cNvPr id="3" name="Btn2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配布用カリキュラムを印刷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10</xdr:row>
      <xdr:rowOff>19050</xdr:rowOff>
    </xdr:from>
    <xdr:to>
      <xdr:col>8</xdr:col>
      <xdr:colOff>0</xdr:colOff>
      <xdr:row>12</xdr:row>
      <xdr:rowOff>0</xdr:rowOff>
    </xdr:to>
    <xdr:sp macro="PrintReport" textlink="">
      <xdr:nvSpPr>
        <xdr:cNvPr id="4" name="Btn3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13</xdr:row>
      <xdr:rowOff>19050</xdr:rowOff>
    </xdr:from>
    <xdr:to>
      <xdr:col>8</xdr:col>
      <xdr:colOff>0</xdr:colOff>
      <xdr:row>15</xdr:row>
      <xdr:rowOff>0</xdr:rowOff>
    </xdr:to>
    <xdr:sp macro="PrintPlan" textlink="">
      <xdr:nvSpPr>
        <xdr:cNvPr id="5" name="Btn4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管理表（A3）を印刷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21</xdr:row>
      <xdr:rowOff>19050</xdr:rowOff>
    </xdr:from>
    <xdr:to>
      <xdr:col>8</xdr:col>
      <xdr:colOff>0</xdr:colOff>
      <xdr:row>24</xdr:row>
      <xdr:rowOff>0</xdr:rowOff>
    </xdr:to>
    <xdr:sp macro="SetStandardChecks" textlink="">
      <xdr:nvSpPr>
        <xdr:cNvPr id="6" name="Btn5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標準パターンでチェック</a:t>
          </a:r>
        </a:p>
      </xdr:txBody>
    </xdr:sp>
    <xdr:clientData fPrintsWithSheet="0"/>
  </xdr:twoCellAnchor>
  <xdr:twoCellAnchor editAs="absolute">
    <xdr:from>
      <xdr:col>5</xdr:col>
      <xdr:colOff>38100</xdr:colOff>
      <xdr:row>25</xdr:row>
      <xdr:rowOff>19050</xdr:rowOff>
    </xdr:from>
    <xdr:to>
      <xdr:col>8</xdr:col>
      <xdr:colOff>0</xdr:colOff>
      <xdr:row>27</xdr:row>
      <xdr:rowOff>0</xdr:rowOff>
    </xdr:to>
    <xdr:sp macro="ClearChecks" textlink="">
      <xdr:nvSpPr>
        <xdr:cNvPr id="7" name="Btn6"/>
        <xdr:cNvSpPr/>
      </xdr:nvSpPr>
      <xdr:spPr>
        <a:prstGeom prst="roundRect">
          <a:avLst/>
        </a:prstGeom>
        <a:solidFill>
          <a:srgbClr val="828CA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チェックを全部外す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38100</xdr:colOff>
      <xdr:row>0</xdr:row>
      <xdr:rowOff>19050</xdr:rowOff>
    </xdr:from>
    <xdr:to>
      <xdr:col>30</xdr:col>
      <xdr:colOff>0</xdr:colOff>
      <xdr:row>3</xdr:row>
      <xdr:rowOff>0</xdr:rowOff>
    </xdr:to>
    <xdr:sp macro="PrintReport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6</xdr:row>
      <xdr:rowOff>19050</xdr:rowOff>
    </xdr:from>
    <xdr:to>
      <xdr:col>30</xdr:col>
      <xdr:colOff>0</xdr:colOff>
      <xdr:row>8</xdr:row>
      <xdr:rowOff>0</xdr:rowOff>
    </xdr:to>
    <xdr:sp macro="ApplySubjects" textlink="">
      <xdr:nvSpPr>
        <xdr:cNvPr id="3" name="Btn2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  <xdr:twoCellAnchor editAs="absolute">
    <xdr:from>
      <xdr:col>27</xdr:col>
      <xdr:colOff>38100</xdr:colOff>
      <xdr:row>17</xdr:row>
      <xdr:rowOff>19050</xdr:rowOff>
    </xdr:from>
    <xdr:to>
      <xdr:col>30</xdr:col>
      <xdr:colOff>0</xdr:colOff>
      <xdr:row>20</xdr:row>
      <xdr:rowOff>0</xdr:rowOff>
    </xdr:to>
    <xdr:sp macro="PrintHandout" textlink="">
      <xdr:nvSpPr>
        <xdr:cNvPr id="4" name="Btn3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配布用を印刷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12</xdr:row>
      <xdr:rowOff>19050</xdr:rowOff>
    </xdr:from>
    <xdr:to>
      <xdr:col>30</xdr:col>
      <xdr:colOff>0</xdr:colOff>
      <xdr:row>15</xdr:row>
      <xdr:rowOff>0</xdr:rowOff>
    </xdr:to>
    <xdr:sp macro="ApplyRecommended" textlink="">
      <xdr:nvSpPr>
        <xdr:cNvPr id="5" name="Btn4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38100</xdr:colOff>
      <xdr:row>11</xdr:row>
      <xdr:rowOff>19050</xdr:rowOff>
    </xdr:from>
    <xdr:to>
      <xdr:col>10</xdr:col>
      <xdr:colOff>0</xdr:colOff>
      <xdr:row>13</xdr:row>
      <xdr:rowOff>0</xdr:rowOff>
    </xdr:to>
    <xdr:sp macro="ApplySubjects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2.xml"/></Relationships>
</file>

<file path=xl/worksheets/_rels/sheet7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>
  <sheetPr codeName="shHowTo">
    <tabColor rgb="005CAC4A"/>
    <outlinePr summaryBelow="1" summaryRight="1"/>
    <pageSetUpPr/>
  </sheetPr>
  <dimension ref="B1:B22"/>
  <sheetViews>
    <sheetView showGridLines="0" tabSelected="0" workbookViewId="0">
      <selection activeCell="A1" sqref="A1"/>
    </sheetView>
  </sheetViews>
  <sheetFormatPr baseColWidth="8" defaultRowHeight="15"/>
  <cols>
    <col width="4" customWidth="1" style="466" min="1" max="1"/>
    <col width="110" customWidth="1" style="466" min="2" max="2"/>
  </cols>
  <sheetData>
    <row r="1" ht="30" customHeight="1" s="466">
      <c r="B1" s="467" t="inlineStr">
        <is>
          <t>合格一貫カリキュラム　マスターテンプレート（生徒1人につき1ファイル）</t>
        </is>
      </c>
    </row>
    <row r="2">
      <c r="B2" s="468" t="inlineStr">
        <is>
          <t>このファイルを生徒ごとにコピーして使います（例：2027_山田太郎.xlsm）。マクロを有効にして開いてください。</t>
        </is>
      </c>
    </row>
    <row r="3" ht="20" customHeight="1" s="466">
      <c r="B3" s="469" t="inlineStr">
        <is>
          <t>1. データシート（ここに入力するとカリキュラムに反映）</t>
        </is>
      </c>
    </row>
    <row r="4">
      <c r="B4" s="470" t="inlineStr">
        <is>
          <t>黄色のセルに 氏名・学年・第1〜第3志望校・文理 を入力。第1志望校（志望校マスタ）で『国公立／私立』とカリキュラムのレベル（難関／標準／基礎）が決まります。</t>
        </is>
      </c>
    </row>
    <row r="5">
      <c r="B5" s="470" t="inlineStr">
        <is>
          <t>受験科目は17項目のチェック表。個別試験・共通テストの列にダブルクリックで ✓。『標準パターンでチェック』で系統ごとの一般的なパターンが入ります。</t>
        </is>
      </c>
    </row>
    <row r="6">
      <c r="B6" s="470" t="inlineStr">
        <is>
          <t>✓ を付けた科目だけが管理表に出ます（個別試験の✓＝講座と教材、共通テストの✓＝右側の共通テスト講座）。</t>
        </is>
      </c>
    </row>
    <row r="7">
      <c r="B7" s="470" t="inlineStr">
        <is>
          <t>入力やチェックを変えると管理表に自動で反映されます（☑ の記録があるときは確認が出ます）。</t>
        </is>
      </c>
    </row>
    <row r="8" ht="20" customHeight="1" s="466">
      <c r="B8" s="469" t="inlineStr">
        <is>
          <t>2. 合格一貫カリキュラム（管理表・A3横で印刷）</t>
        </is>
      </c>
    </row>
    <row r="9">
      <c r="B9" s="470" t="inlineStr">
        <is>
          <t>各科目6行：講座の帯／回／【塾】授業の教材／☐（毎月の進み）／【家】家庭学習の教材／☐（毎月の進み）。期間は高2の1月〜直前Ⅱ期（翌2月）の17区分。</t>
        </is>
      </c>
    </row>
    <row r="10">
      <c r="B10" s="470" t="inlineStr">
        <is>
          <t>受講した回・進んだ月は、セルをダブルクリック（タブレットはダブルタップ）で ☑。もう一度で外れます。右側は共通テスト対策（9月〜12月）。</t>
        </is>
      </c>
    </row>
    <row r="11">
      <c r="B11" s="470" t="inlineStr">
        <is>
          <t>設定シートの終了日を過ぎても ☑ がない回・☐ は赤くなります。S列に科目ごとの進捗（回数・遅れ・％）。</t>
        </is>
      </c>
    </row>
    <row r="12">
      <c r="B12" s="470" t="inlineStr">
        <is>
          <t>講座や教材を個別に変えたいときは、管理表のセルを直接書き換えてかまいません（再反映すると元に戻ります）。</t>
        </is>
      </c>
    </row>
    <row r="13" ht="20" customHeight="1" s="466">
      <c r="B13" s="469" t="inlineStr">
        <is>
          <t>3. 模試・自学シート</t>
        </is>
      </c>
    </row>
    <row r="14">
      <c r="B14" s="470" t="inlineStr">
        <is>
          <t>模試の偏差値を古い順に入力。② の家庭学習推奨教材は反映時に自動で並ぶので、『現在（周）』だけ毎回入力。③講師コメント・④次回の目標も入力。</t>
        </is>
      </c>
    </row>
    <row r="15" ht="20" customHeight="1" s="466">
      <c r="B15" s="469" t="inlineStr">
        <is>
          <t>4. 成績表（A4縦）</t>
        </is>
      </c>
    </row>
    <row r="16">
      <c r="B16" s="470" t="inlineStr">
        <is>
          <t>『成績表を印刷』ボタンで、使っていない行を隠して印刷プレビューを開きます。総合達成度＝講座の受講・模試・家庭学習教材の平均。</t>
        </is>
      </c>
    </row>
    <row r="17" ht="20" customHeight="1" s="466">
      <c r="B17" s="469" t="inlineStr">
        <is>
          <t>5. 設定シート</t>
        </is>
      </c>
    </row>
    <row r="18">
      <c r="B18" s="470" t="inlineStr">
        <is>
          <t>年度（生徒の高3の年度）・各期間の終了日・標準パターン（系統ごとの受験科目の✓）を管理します。</t>
        </is>
      </c>
    </row>
    <row r="19" ht="20" customHeight="1" s="466">
      <c r="B19" s="469" t="inlineStr">
        <is>
          <t>6. マスタ（志望校・教材・講座・カリキュラムDB・共テDB）</t>
        </is>
      </c>
    </row>
    <row r="20">
      <c r="B20" s="470" t="inlineStr">
        <is>
          <t>志望校マスタ：大学ごとの区分と『文系のレベル／理系のレベル』（難関・標準・基礎）。レベルは塾の判断で直してください。</t>
        </is>
      </c>
    </row>
    <row r="21">
      <c r="B21" s="470" t="inlineStr">
        <is>
          <t>カリキュラムDB：系統×科目×レベル×種別（講座/回/塾/家）の1行が17期間分。『←』は左のセルと結合（帯をのばす）。{志望校} は第1志望校名に置き換わります。</t>
        </is>
      </c>
    </row>
    <row r="22">
      <c r="B22" s="468" t="inlineStr">
        <is>
          <t>講座名・教材・偏差値には仮置きを含みます（講座マスタ・教材マスタの確認状態を参照）。パンフレットと照合して直してください。</t>
        </is>
      </c>
    </row>
  </sheetData>
  <pageMargins left="0.75" right="0.75" top="1" bottom="1" header="0.5" footer="0.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Input">
    <tabColor rgb="00E88A12"/>
    <outlinePr summaryBelow="1" summaryRight="1"/>
    <pageSetUpPr fitToPage="1"/>
  </sheetPr>
  <dimension ref="A1:K46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4" customWidth="1" style="466" min="1" max="1"/>
    <col width="15" customWidth="1" style="466" min="2" max="2"/>
    <col width="15" customWidth="1" style="466" min="3" max="3"/>
    <col width="50" customWidth="1" style="466" min="4" max="4"/>
    <col width="3" customWidth="1" style="466" min="5" max="5"/>
    <col width="9" customWidth="1" style="466" min="6" max="6"/>
    <col width="9" customWidth="1" style="466" min="7" max="7"/>
    <col width="9" customWidth="1" style="466" min="8" max="8"/>
    <col width="9" customWidth="1" style="466" min="9" max="9"/>
    <col width="12" customWidth="1" style="466" min="10" max="10"/>
    <col width="12" customWidth="1" style="466" min="11" max="11"/>
  </cols>
  <sheetData>
    <row r="1" ht="30" customHeight="1" s="466">
      <c r="A1" s="471" t="inlineStr">
        <is>
          <t>データシート（生徒情報・志望校・受験科目）</t>
        </is>
      </c>
    </row>
    <row r="2" ht="30" customHeight="1" s="466">
      <c r="A2" s="472" t="inlineStr">
        <is>
          <t>黄色のセルに入力します。志望校・文理と、受験科目のチェック（✓）を入れると、カリキュラムが管理表に自動で反映されます（マクロを有効にして開いてください）。</t>
        </is>
      </c>
    </row>
    <row r="4" ht="20" customHeight="1" s="466">
      <c r="A4" s="473" t="inlineStr">
        <is>
          <t>■ 生徒</t>
        </is>
      </c>
      <c r="J4" s="474" t="inlineStr">
        <is>
          <t>補助（数式）</t>
        </is>
      </c>
    </row>
    <row r="5" ht="21" customHeight="1" s="466">
      <c r="A5" s="475" t="inlineStr">
        <is>
          <t>氏名</t>
        </is>
      </c>
      <c r="B5" s="476" t="n"/>
      <c r="C5" s="477" t="n"/>
      <c r="D5" s="478" t="inlineStr">
        <is>
          <t>成績表・管理表に表示されます</t>
        </is>
      </c>
    </row>
    <row r="6" ht="21" customHeight="1" s="466">
      <c r="A6" s="475" t="inlineStr">
        <is>
          <t>高校</t>
        </is>
      </c>
      <c r="B6" s="476" t="n"/>
      <c r="C6" s="477" t="n"/>
      <c r="D6" s="478" t="inlineStr"/>
    </row>
    <row r="7" ht="21" customHeight="1" s="466">
      <c r="A7" s="475" t="inlineStr">
        <is>
          <t>学年</t>
        </is>
      </c>
      <c r="B7" s="476" t="inlineStr">
        <is>
          <t>高2</t>
        </is>
      </c>
      <c r="C7" s="477" t="n"/>
      <c r="D7" s="478" t="inlineStr">
        <is>
          <t>高2の1月スタートが標準（高3・既卒も可）</t>
        </is>
      </c>
    </row>
    <row r="8" ht="21" customHeight="1" s="466">
      <c r="A8" s="475" t="inlineStr">
        <is>
          <t>担当</t>
        </is>
      </c>
      <c r="B8" s="476" t="n"/>
      <c r="C8" s="477" t="n"/>
      <c r="D8" s="478" t="inlineStr"/>
    </row>
    <row r="10" ht="20" customHeight="1" s="466">
      <c r="A10" s="473" t="inlineStr">
        <is>
          <t>■ 志望校（第1志望校と文理を変えると自動で反映）</t>
        </is>
      </c>
    </row>
    <row r="11" ht="21" customHeight="1" s="466">
      <c r="A11" s="475" t="inlineStr">
        <is>
          <t>第1志望校</t>
        </is>
      </c>
      <c r="B11" s="476" t="inlineStr">
        <is>
          <t>一橋大学</t>
        </is>
      </c>
      <c r="C11" s="477" t="n"/>
      <c r="D11" s="478" t="inlineStr">
        <is>
          <t>リストから選択（志望校マスタ）。区分（国公立/私立）とカリキュラムのレベルはここで決まります</t>
        </is>
      </c>
    </row>
    <row r="12" ht="21" customHeight="1" s="466">
      <c r="A12" s="475" t="inlineStr">
        <is>
          <t>第2志望校</t>
        </is>
      </c>
      <c r="B12" s="476" t="n"/>
      <c r="C12" s="477" t="n"/>
      <c r="D12" s="478" t="inlineStr">
        <is>
          <t>表示用</t>
        </is>
      </c>
    </row>
    <row r="13" ht="21" customHeight="1" s="466">
      <c r="A13" s="475" t="inlineStr">
        <is>
          <t>第3志望校</t>
        </is>
      </c>
      <c r="B13" s="476" t="n"/>
      <c r="C13" s="477" t="n"/>
      <c r="D13" s="478" t="inlineStr">
        <is>
          <t>表示用</t>
        </is>
      </c>
    </row>
    <row r="14" ht="21" customHeight="1" s="466">
      <c r="A14" s="475" t="inlineStr">
        <is>
          <t>文理</t>
        </is>
      </c>
      <c r="B14" s="476" t="inlineStr">
        <is>
          <t>文系</t>
        </is>
      </c>
      <c r="C14" s="477" t="n"/>
      <c r="D14" s="478" t="inlineStr">
        <is>
          <t>文系 / 理系</t>
        </is>
      </c>
      <c r="J14" s="474">
        <f>IF(B14="理系","理系","文系")</f>
        <v/>
      </c>
    </row>
    <row r="15" ht="21" customHeight="1" s="466">
      <c r="A15" s="475" t="inlineStr">
        <is>
          <t>現在の偏差値（参考）</t>
        </is>
      </c>
      <c r="B15" s="479" t="n">
        <v>57.5</v>
      </c>
      <c r="C15" s="477" t="n"/>
      <c r="D15" s="478" t="inlineStr">
        <is>
          <t>管理表・成績表に表示するだけ（レベル判定には使いません）</t>
        </is>
      </c>
    </row>
    <row r="16" ht="21" customHeight="1" s="466">
      <c r="A16" s="475" t="inlineStr">
        <is>
          <t>レベルの手動指定（任意）</t>
        </is>
      </c>
      <c r="B16" s="476" t="n"/>
      <c r="C16" s="477" t="n"/>
      <c r="D16" s="478" t="inlineStr">
        <is>
          <t>空欄なら志望校マスタのレベル。基礎 / 標準 / 難関 を選ぶと上書き</t>
        </is>
      </c>
      <c r="F16" s="474" t="inlineStr">
        <is>
          <t>↑ 反映：管理表と配布用カリキュラムを作り直します</t>
        </is>
      </c>
    </row>
    <row r="17" ht="21" customHeight="1" s="466">
      <c r="A17" s="475" t="inlineStr">
        <is>
          <t>入力したら自動で反映</t>
        </is>
      </c>
      <c r="B17" s="476" t="inlineStr">
        <is>
          <t>する</t>
        </is>
      </c>
      <c r="C17" s="477" t="n"/>
      <c r="D17" s="478" t="inlineStr">
        <is>
          <t>『しない』にすると、ボタンを押したときだけ反映します</t>
        </is>
      </c>
      <c r="F17" s="474" t="inlineStr">
        <is>
          <t>（チェック済み☑があるときは確認が出ます）</t>
        </is>
      </c>
    </row>
    <row r="19" ht="20" customHeight="1" s="466">
      <c r="A19" s="473" t="inlineStr">
        <is>
          <t>■ 受験科目（✓を付けた科目がカリキュラムに反映されます）</t>
        </is>
      </c>
    </row>
    <row r="20" ht="28" customHeight="1" s="466">
      <c r="A20" s="480" t="inlineStr">
        <is>
          <t>セルをダブルクリック（またはリストから ✓ を選択）で付け外し。理科は文系なら『〇〇基礎』、理系なら『物理・化学・生物』に。右の『標準パターンでチェック』で、系統ごとの一般的なパターンが入ります。</t>
        </is>
      </c>
    </row>
    <row r="21">
      <c r="A21" s="481" t="inlineStr">
        <is>
          <t>科目</t>
        </is>
      </c>
      <c r="B21" s="481" t="inlineStr">
        <is>
          <t>個別試験</t>
        </is>
      </c>
      <c r="C21" s="481" t="inlineStr">
        <is>
          <t>共通テスト</t>
        </is>
      </c>
      <c r="D21" s="481" t="inlineStr">
        <is>
          <t>管理表での扱い</t>
        </is>
      </c>
    </row>
    <row r="22" ht="18" customHeight="1" s="466">
      <c r="A22" s="482" t="inlineStr">
        <is>
          <t>英語</t>
        </is>
      </c>
      <c r="B22" s="483" t="inlineStr">
        <is>
          <t>✓</t>
        </is>
      </c>
      <c r="C22" s="483" t="inlineStr">
        <is>
          <t>✓</t>
        </is>
      </c>
      <c r="D22" s="484" t="inlineStr">
        <is>
          <t>管理表『英語』の欄</t>
        </is>
      </c>
    </row>
    <row r="23" ht="18" customHeight="1" s="466">
      <c r="A23" s="485" t="inlineStr">
        <is>
          <t>数学</t>
        </is>
      </c>
      <c r="B23" s="483" t="inlineStr">
        <is>
          <t>✓</t>
        </is>
      </c>
      <c r="C23" s="483" t="inlineStr">
        <is>
          <t>✓</t>
        </is>
      </c>
      <c r="D23" s="484" t="inlineStr">
        <is>
          <t>管理表『数学』の欄</t>
        </is>
      </c>
    </row>
    <row r="24" ht="18" customHeight="1" s="466">
      <c r="A24" s="486" t="inlineStr">
        <is>
          <t>現代文</t>
        </is>
      </c>
      <c r="B24" s="483" t="inlineStr">
        <is>
          <t>✓</t>
        </is>
      </c>
      <c r="C24" s="483" t="inlineStr">
        <is>
          <t>✓</t>
        </is>
      </c>
      <c r="D24" s="484" t="inlineStr">
        <is>
          <t>管理表『現代文』の欄</t>
        </is>
      </c>
    </row>
    <row r="25" ht="18" customHeight="1" s="466">
      <c r="A25" s="487" t="inlineStr">
        <is>
          <t>古文</t>
        </is>
      </c>
      <c r="B25" s="483" t="inlineStr">
        <is>
          <t>✓</t>
        </is>
      </c>
      <c r="C25" s="483" t="inlineStr">
        <is>
          <t>✓</t>
        </is>
      </c>
      <c r="D25" s="484" t="inlineStr">
        <is>
          <t>管理表『古文』の欄</t>
        </is>
      </c>
    </row>
    <row r="26" ht="18" customHeight="1" s="466">
      <c r="A26" s="488" t="inlineStr">
        <is>
          <t>漢文</t>
        </is>
      </c>
      <c r="B26" s="483" t="inlineStr">
        <is>
          <t>✓</t>
        </is>
      </c>
      <c r="C26" s="483" t="inlineStr">
        <is>
          <t>✓</t>
        </is>
      </c>
      <c r="D26" s="484" t="inlineStr">
        <is>
          <t>管理表『漢文』の欄</t>
        </is>
      </c>
    </row>
    <row r="27" ht="18" customHeight="1" s="466">
      <c r="A27" s="489" t="inlineStr">
        <is>
          <t>日本史</t>
        </is>
      </c>
      <c r="B27" s="483" t="inlineStr">
        <is>
          <t>✓</t>
        </is>
      </c>
      <c r="C27" s="483" t="inlineStr">
        <is>
          <t>✓</t>
        </is>
      </c>
      <c r="D27" s="484" t="inlineStr">
        <is>
          <t>管理表『日本史』の欄</t>
        </is>
      </c>
    </row>
    <row r="28" ht="18" customHeight="1" s="466">
      <c r="A28" s="490" t="inlineStr">
        <is>
          <t>世界史</t>
        </is>
      </c>
      <c r="B28" s="483" t="n"/>
      <c r="C28" s="483" t="n"/>
      <c r="D28" s="484" t="inlineStr">
        <is>
          <t>管理表『世界史』の欄</t>
        </is>
      </c>
    </row>
    <row r="29" ht="18" customHeight="1" s="466">
      <c r="A29" s="491" t="inlineStr">
        <is>
          <t>地理</t>
        </is>
      </c>
      <c r="B29" s="483" t="n"/>
      <c r="C29" s="483" t="n"/>
      <c r="D29" s="484" t="inlineStr">
        <is>
          <t>管理表『地理』の欄。個別試験の講座は仮</t>
        </is>
      </c>
    </row>
    <row r="30" ht="18" customHeight="1" s="466">
      <c r="A30" s="492" t="inlineStr">
        <is>
          <t>物理</t>
        </is>
      </c>
      <c r="B30" s="483" t="n"/>
      <c r="C30" s="483" t="n"/>
      <c r="D30" s="484" t="inlineStr">
        <is>
          <t>管理表『物理』の欄</t>
        </is>
      </c>
    </row>
    <row r="31" ht="18" customHeight="1" s="466">
      <c r="A31" s="493" t="inlineStr">
        <is>
          <t>化学</t>
        </is>
      </c>
      <c r="B31" s="483" t="n"/>
      <c r="C31" s="483" t="n"/>
      <c r="D31" s="484" t="inlineStr">
        <is>
          <t>管理表『化学』の欄</t>
        </is>
      </c>
    </row>
    <row r="32" ht="18" customHeight="1" s="466">
      <c r="A32" s="494" t="inlineStr">
        <is>
          <t>生物</t>
        </is>
      </c>
      <c r="B32" s="483" t="n"/>
      <c r="C32" s="483" t="n"/>
      <c r="D32" s="484" t="inlineStr">
        <is>
          <t>管理表『生物』の欄</t>
        </is>
      </c>
    </row>
    <row r="33" ht="18" customHeight="1" s="466">
      <c r="A33" s="492" t="inlineStr">
        <is>
          <t>物理基礎</t>
        </is>
      </c>
      <c r="B33" s="483" t="n"/>
      <c r="C33" s="483" t="n"/>
      <c r="D33" s="484" t="inlineStr">
        <is>
          <t>管理表『物理』の欄（共通テストのみの項目）</t>
        </is>
      </c>
    </row>
    <row r="34" ht="18" customHeight="1" s="466">
      <c r="A34" s="493" t="inlineStr">
        <is>
          <t>化学基礎</t>
        </is>
      </c>
      <c r="B34" s="483" t="n"/>
      <c r="C34" s="483" t="inlineStr">
        <is>
          <t>✓</t>
        </is>
      </c>
      <c r="D34" s="484" t="inlineStr">
        <is>
          <t>管理表『化学』の欄（共通テストのみの項目）</t>
        </is>
      </c>
    </row>
    <row r="35" ht="18" customHeight="1" s="466">
      <c r="A35" s="494" t="inlineStr">
        <is>
          <t>生物基礎</t>
        </is>
      </c>
      <c r="B35" s="483" t="n"/>
      <c r="C35" s="483" t="inlineStr">
        <is>
          <t>✓</t>
        </is>
      </c>
      <c r="D35" s="484" t="inlineStr">
        <is>
          <t>管理表『生物』の欄（共通テストのみの項目）</t>
        </is>
      </c>
    </row>
    <row r="36" ht="18" customHeight="1" s="466">
      <c r="A36" s="495" t="inlineStr">
        <is>
          <t>公共・政経</t>
        </is>
      </c>
      <c r="B36" s="483" t="n"/>
      <c r="C36" s="483" t="inlineStr">
        <is>
          <t>✓</t>
        </is>
      </c>
      <c r="D36" s="484" t="inlineStr">
        <is>
          <t>管理表『公共・情報』の欄（共通テストのみの項目）</t>
        </is>
      </c>
    </row>
    <row r="37" ht="18" customHeight="1" s="466">
      <c r="A37" s="495" t="inlineStr">
        <is>
          <t>公共・倫理</t>
        </is>
      </c>
      <c r="B37" s="483" t="n"/>
      <c r="C37" s="483" t="n"/>
      <c r="D37" s="484" t="inlineStr">
        <is>
          <t>管理表『公共・情報』の欄（共通テストのみの項目）</t>
        </is>
      </c>
    </row>
    <row r="38" ht="18" customHeight="1" s="466">
      <c r="A38" s="495" t="inlineStr">
        <is>
          <t>情報Ⅰ</t>
        </is>
      </c>
      <c r="B38" s="483" t="n"/>
      <c r="C38" s="483" t="inlineStr">
        <is>
          <t>✓</t>
        </is>
      </c>
      <c r="D38" s="484" t="inlineStr">
        <is>
          <t>管理表『公共・情報』の欄（共通テストのみの項目）</t>
        </is>
      </c>
    </row>
    <row r="40" ht="20" customHeight="1" s="466">
      <c r="A40" s="473" t="inlineStr">
        <is>
          <t>■ 自動判定（数式・入力不要）</t>
        </is>
      </c>
    </row>
    <row r="41" ht="21" customHeight="1" s="466">
      <c r="A41" s="475" t="inlineStr">
        <is>
          <t>区分</t>
        </is>
      </c>
      <c r="B41" s="496">
        <f>IF(B11="","国公立",IFERROR(INDEX(志望校区分,MATCH(B11,志望校リスト,0)),"国公立"))</f>
        <v/>
      </c>
      <c r="C41" s="477" t="n"/>
      <c r="D41" s="478" t="inlineStr"/>
    </row>
    <row r="42" ht="21" customHeight="1" s="466">
      <c r="A42" s="475" t="inlineStr">
        <is>
          <t>系統</t>
        </is>
      </c>
      <c r="B42" s="496">
        <f>IF(B41="私立","私大","国立")&amp;J14</f>
        <v/>
      </c>
      <c r="C42" s="477" t="n"/>
      <c r="D42" s="478" t="inlineStr">
        <is>
          <t>国立文系 / 国立理系 / 私大文系 / 私大理系</t>
        </is>
      </c>
    </row>
    <row r="43" ht="21" customHeight="1" s="466">
      <c r="A43" s="475" t="inlineStr">
        <is>
          <t>志望校の目標偏差値（参考）</t>
        </is>
      </c>
      <c r="B43" s="497">
        <f>IF(J14="理系",IF(K43&lt;&gt;"",K43,J43),IF(J43&lt;&gt;"",J43,K43))</f>
        <v/>
      </c>
      <c r="C43" s="477" t="n"/>
      <c r="D43" s="478" t="inlineStr">
        <is>
          <t>志望校マスタの値（目安）。表示するだけ</t>
        </is>
      </c>
      <c r="J43" s="474">
        <f>IFERROR(IF(INDEX(志望校文系,MATCH($B$11,志望校リスト,0))="","",INDEX(志望校文系,MATCH($B$11,志望校リスト,0))),"")</f>
        <v/>
      </c>
      <c r="K43" s="474">
        <f>IFERROR(IF(INDEX(志望校理系,MATCH($B$11,志望校リスト,0))="","",INDEX(志望校理系,MATCH($B$11,志望校リスト,0))),"")</f>
        <v/>
      </c>
    </row>
    <row r="44" ht="21" customHeight="1" s="466">
      <c r="A44" s="475" t="inlineStr">
        <is>
          <t>カリキュラムのレベル</t>
        </is>
      </c>
      <c r="B44" s="496">
        <f>IF(B16&lt;&gt;"",B16,IF(J14="理系",IF(K44&lt;&gt;"",K44,IF(J44&lt;&gt;"",J44,"標準")),IF(J44&lt;&gt;"",J44,IF(K44&lt;&gt;"",K44,"標準"))))</f>
        <v/>
      </c>
      <c r="C44" s="477" t="n"/>
      <c r="D44" s="478" t="inlineStr">
        <is>
          <t>志望校マスタの『レベル』列（または手動指定）</t>
        </is>
      </c>
      <c r="J44" s="474">
        <f>IFERROR(IF(INDEX(志望校文系レベル,MATCH($B$11,志望校リスト,0))="","",INDEX(志望校文系レベル,MATCH($B$11,志望校リスト,0))),"")</f>
        <v/>
      </c>
      <c r="K44" s="474">
        <f>IFERROR(IF(INDEX(志望校理系レベル,MATCH($B$11,志望校リスト,0))="","",INDEX(志望校理系レベル,MATCH($B$11,志望校リスト,0))),"")</f>
        <v/>
      </c>
    </row>
    <row r="45" ht="30" customHeight="1" s="466">
      <c r="A45" s="475" t="inlineStr">
        <is>
          <t>入試の目安</t>
        </is>
      </c>
      <c r="B45" s="498">
        <f>IFERROR(VLOOKUP(B42,系統メモ,2,FALSE),"")</f>
        <v/>
      </c>
      <c r="C45" s="499" t="n"/>
      <c r="D45" s="499" t="n"/>
    </row>
    <row r="46" ht="21" customHeight="1" s="466">
      <c r="A46" s="475" t="inlineStr">
        <is>
          <t>反映するパターン</t>
        </is>
      </c>
      <c r="B46" s="496">
        <f>B42&amp;"／"&amp;B44&amp;"レベル"</f>
        <v/>
      </c>
      <c r="C46" s="477" t="n"/>
      <c r="D46" s="478" t="inlineStr">
        <is>
          <t>カリキュラムDB のこの組み合わせを管理表に反映します</t>
        </is>
      </c>
      <c r="J46" s="474">
        <f>IF(B11="","志望校",B11)</f>
        <v/>
      </c>
    </row>
  </sheetData>
  <mergeCells count="24">
    <mergeCell ref="B16:C16"/>
    <mergeCell ref="B7:C7"/>
    <mergeCell ref="A4:D4"/>
    <mergeCell ref="A20:D20"/>
    <mergeCell ref="B46:C46"/>
    <mergeCell ref="A19:D19"/>
    <mergeCell ref="A10:D10"/>
    <mergeCell ref="B43:C43"/>
    <mergeCell ref="B12:C12"/>
    <mergeCell ref="A40:D40"/>
    <mergeCell ref="B11:C11"/>
    <mergeCell ref="B42:C42"/>
    <mergeCell ref="B14:C14"/>
    <mergeCell ref="B17:C17"/>
    <mergeCell ref="B8:C8"/>
    <mergeCell ref="B13:C13"/>
    <mergeCell ref="A1:D1"/>
    <mergeCell ref="B44:C44"/>
    <mergeCell ref="B45:D45"/>
    <mergeCell ref="B6:C6"/>
    <mergeCell ref="B15:C15"/>
    <mergeCell ref="B5:C5"/>
    <mergeCell ref="A2:D2"/>
    <mergeCell ref="B41:C41"/>
  </mergeCells>
  <dataValidations count="7">
    <dataValidation sqref="B22:C38" showDropDown="0" showInputMessage="0" showErrorMessage="0" allowBlank="1" type="list">
      <formula1>"✓"</formula1>
    </dataValidation>
    <dataValidation sqref="B7" showDropDown="0" showInputMessage="0" showErrorMessage="0" allowBlank="1" type="list">
      <formula1>"高2,高3,既卒"</formula1>
    </dataValidation>
    <dataValidation sqref="B14" showDropDown="0" showInputMessage="0" showErrorMessage="0" allowBlank="1" type="list">
      <formula1>"文系,理系"</formula1>
    </dataValidation>
    <dataValidation sqref="B16" showDropDown="0" showInputMessage="0" showErrorMessage="0" allowBlank="1" type="list">
      <formula1>"基礎,標準,難関"</formula1>
    </dataValidation>
    <dataValidation sqref="B17" showDropDown="0" showInputMessage="0" showErrorMessage="0" allowBlank="1" type="list">
      <formula1>"する,しない"</formula1>
    </dataValidation>
    <dataValidation sqref="B11:B13" showDropDown="0" showInputMessage="0" showErrorMessage="0" allowBlank="1" type="list">
      <formula1>=志望校リスト</formula1>
    </dataValidation>
    <dataValidation sqref="B15" showDropDown="0" showInputMessage="0" showErrorMessage="1" allowBlank="1" error="偏差値は 20〜85 の数で入力してください" type="decimal" operator="between">
      <formula1>20</formula1>
      <formula2>85</formula2>
    </dataValidation>
  </dataValidations>
  <pageMargins left="0.75" right="0.75" top="1" bottom="1" header="0.5" footer="0.5"/>
  <pageSetup orientation="portrait" paperSize="9" fitToHeight="1" fitToWidth="1"/>
  <drawing r:id="rIdBtn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Plan">
    <tabColor rgb="0017358F"/>
    <outlinePr summaryBelow="1" summaryRight="1"/>
    <pageSetUpPr fitToPage="1"/>
  </sheetPr>
  <dimension ref="A1:AB81"/>
  <sheetViews>
    <sheetView showGridLines="0" tabSelected="0" workbookViewId="0">
      <selection activeCell="A1" sqref="A1"/>
    </sheetView>
  </sheetViews>
  <sheetFormatPr baseColWidth="8" defaultRowHeight="15"/>
  <cols>
    <col width="10.125" customWidth="1" style="466" min="1" max="1"/>
    <col width="6.625" customWidth="1" style="466" min="3" max="3"/>
    <col width="6.625" customWidth="1" style="466" min="4" max="4"/>
    <col width="6.625" customWidth="1" style="466" min="5" max="5"/>
    <col width="6.625" customWidth="1" style="466" min="6" max="6"/>
    <col width="6.625" customWidth="1" style="466" min="7" max="7"/>
    <col width="6.625" customWidth="1" style="466" min="8" max="8"/>
    <col width="6.625" customWidth="1" style="466" min="9" max="9"/>
    <col width="6.625" customWidth="1" style="466" min="10" max="10"/>
    <col width="6.625" customWidth="1" style="466" min="11" max="11"/>
    <col width="6.625" customWidth="1" style="466" min="12" max="12"/>
    <col width="6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6.625" customWidth="1" style="466" min="17" max="17"/>
    <col width="6.625" customWidth="1" style="466" min="18" max="18"/>
    <col width="8.625" customWidth="1" style="466" min="19" max="19"/>
    <col width="2.125" customWidth="1" style="466" min="20" max="20"/>
    <col width="5.125" customWidth="1" style="466" min="21" max="21"/>
    <col width="27.625" customWidth="1" style="466" min="22" max="22"/>
    <col width="7.625" customWidth="1" style="466" min="23" max="23"/>
    <col width="7.625" customWidth="1" style="466" min="24" max="24"/>
    <col width="7.625" customWidth="1" style="466" min="25" max="25"/>
    <col width="7.625" customWidth="1" style="466" min="26" max="26"/>
    <col width="8.625" customWidth="1" style="466" min="27" max="27"/>
    <col width="8.6" customWidth="1" style="466" min="28" max="28"/>
    <col width="8.6" customWidth="1" style="466" min="29" max="29"/>
    <col width="8.6" customWidth="1" style="466" min="30" max="30"/>
    <col width="8.6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  <col width="8.625" customWidth="1" style="466" min="16385" max="16385"/>
  </cols>
  <sheetData>
    <row r="1" ht="21.95" customHeight="1" s="466">
      <c r="A1" s="285" t="inlineStr">
        <is>
          <t>合格一貫
カリキュラム</t>
        </is>
      </c>
      <c r="B1" s="500" t="n"/>
      <c r="C1" s="500" t="n"/>
      <c r="D1" s="500" t="n"/>
      <c r="E1" s="291">
        <f>IF(kGrade="","高2",kGrade)</f>
        <v/>
      </c>
      <c r="F1" s="500" t="n"/>
      <c r="G1" s="500" t="n"/>
      <c r="H1" s="500" t="n"/>
      <c r="I1" s="501">
        <f>"第1志望："&amp;IF(kSchool1="","（未入力）",kSchool1)&amp;IF(kSchool2="",""," ／ 第2志望："&amp;kSchool2)&amp;IF(kSchool3="",""," ／ 第3志望："&amp;kSchool3)&amp;CHAR(10)&amp;"目標偏差値："&amp;IF(kTarget="","—",TEXT(kTarget,"0.0"))&amp;"　現在："&amp;IF(kCurrent="","—",TEXT(kCurrent,"0.0"))</f>
        <v/>
      </c>
      <c r="J1" s="500" t="n"/>
      <c r="K1" s="500" t="n"/>
      <c r="L1" s="500" t="n"/>
      <c r="M1" s="500" t="n"/>
      <c r="N1" s="500" t="n"/>
      <c r="O1" s="500" t="n"/>
      <c r="P1" s="500" t="n"/>
      <c r="Q1" s="500" t="n"/>
      <c r="R1" s="500" t="n"/>
      <c r="S1" s="502" t="n"/>
      <c r="U1" s="383" t="inlineStr">
        <is>
          <t>氏名</t>
        </is>
      </c>
      <c r="V1" s="503">
        <f>IF(kName="","",kName)</f>
        <v/>
      </c>
      <c r="W1" s="504" t="n"/>
      <c r="X1" s="504" t="n"/>
      <c r="Y1" s="504" t="n"/>
      <c r="Z1" s="505" t="n"/>
    </row>
    <row r="2" ht="21.95" customHeight="1" s="466">
      <c r="A2" s="506" t="n"/>
      <c r="E2" s="293">
        <f>IF(LEFT(kSystem,2)="国立","国公立大","私立大")&amp;"（"&amp;kBunri&amp;"）"&amp;CHAR(10)&amp;kLevel&amp;"レベル"</f>
        <v/>
      </c>
      <c r="I2" s="507" t="n"/>
      <c r="S2" s="508" t="n"/>
      <c r="U2" s="383" t="inlineStr">
        <is>
          <t>高校</t>
        </is>
      </c>
      <c r="V2" s="238">
        <f>IF(kHighschool="","",kHighschool)</f>
        <v/>
      </c>
      <c r="W2" s="509" t="n"/>
      <c r="X2" s="509" t="n"/>
      <c r="Y2" s="509" t="n"/>
      <c r="Z2" s="510" t="n"/>
    </row>
    <row r="3" ht="21.95" customHeight="1" s="466">
      <c r="A3" s="289" t="inlineStr">
        <is>
          <t>志望大学</t>
        </is>
      </c>
      <c r="B3" s="511" t="n"/>
      <c r="C3" s="511" t="n"/>
      <c r="D3" s="511" t="n"/>
      <c r="E3" s="511" t="n"/>
      <c r="F3" s="511" t="n"/>
      <c r="G3" s="511" t="n"/>
      <c r="H3" s="511" t="n"/>
      <c r="I3" s="512" t="n"/>
      <c r="J3" s="511" t="n"/>
      <c r="K3" s="511" t="n"/>
      <c r="L3" s="511" t="n"/>
      <c r="M3" s="511" t="n"/>
      <c r="N3" s="511" t="n"/>
      <c r="O3" s="511" t="n"/>
      <c r="P3" s="511" t="n"/>
      <c r="Q3" s="511" t="n"/>
      <c r="R3" s="511" t="n"/>
      <c r="S3" s="513" t="n"/>
      <c r="U3" s="383" t="inlineStr">
        <is>
          <t>担当</t>
        </is>
      </c>
      <c r="V3" s="238">
        <f>IF(kTantou="","",kTantou)</f>
        <v/>
      </c>
      <c r="W3" s="514" t="n"/>
      <c r="X3" s="514" t="n"/>
      <c r="Y3" s="514" t="n"/>
      <c r="Z3" s="515" t="n"/>
    </row>
    <row r="4" ht="13" customHeight="1" s="466">
      <c r="B4" s="516" t="inlineStr">
        <is>
          <t>◀ 高2 ▶</t>
        </is>
      </c>
      <c r="E4" s="517" t="inlineStr">
        <is>
          <t>◀ 高3 ▶</t>
        </is>
      </c>
      <c r="S4" s="7" t="n"/>
      <c r="W4" s="0" t="n"/>
      <c r="X4" s="0" t="n"/>
      <c r="Y4" s="0" t="n"/>
      <c r="Z4" s="0" t="n"/>
      <c r="AB4" s="518" t="inlineStr">
        <is>
          <t>↑ 押すと成績表（A4縦）の印刷プレビューが開きます</t>
        </is>
      </c>
    </row>
    <row r="5" ht="20.1" customHeight="1" s="466">
      <c r="A5" s="253" t="inlineStr">
        <is>
          <t xml:space="preserve">　個別試験対策</t>
        </is>
      </c>
      <c r="U5" s="519" t="inlineStr">
        <is>
          <t>大学入学共通テスト対策（9月スタート）</t>
        </is>
      </c>
      <c r="V5" s="500" t="n"/>
      <c r="W5" s="500" t="n"/>
      <c r="X5" s="500" t="n"/>
      <c r="Y5" s="500" t="n"/>
      <c r="Z5" s="502" t="n"/>
      <c r="AB5" s="34" t="n"/>
    </row>
    <row r="6" ht="26.1" customHeight="1" s="466">
      <c r="A6" s="78" t="inlineStr">
        <is>
          <t>学習目的</t>
        </is>
      </c>
      <c r="B6" s="267" t="inlineStr">
        <is>
          <t>入試基礎力を強化する（高2の1月〜）</t>
        </is>
      </c>
      <c r="C6" s="267" t="n"/>
      <c r="D6" s="500" t="n"/>
      <c r="E6" s="500" t="n"/>
      <c r="F6" s="500" t="n"/>
      <c r="G6" s="500" t="n"/>
      <c r="H6" s="500" t="n"/>
      <c r="I6" s="500" t="n"/>
      <c r="J6" s="520" t="n"/>
      <c r="K6" s="274" t="inlineStr">
        <is>
          <t>入試基礎力を
完成させる</t>
        </is>
      </c>
      <c r="L6" s="520" t="n"/>
      <c r="M6" s="521" t="inlineStr">
        <is>
          <t>合格得点力を養成する
（共通テスト対策スタート）</t>
        </is>
      </c>
      <c r="N6" s="504" t="n"/>
      <c r="O6" s="504" t="n"/>
      <c r="P6" s="522" t="n"/>
      <c r="Q6" s="278" t="inlineStr">
        <is>
          <t>合格得点力を
完成させる</t>
        </is>
      </c>
      <c r="R6" s="500" t="n"/>
      <c r="S6" s="260" t="inlineStr">
        <is>
          <t>進捗</t>
        </is>
      </c>
      <c r="U6" s="523" t="inlineStr">
        <is>
          <t>受講する講座に ✓</t>
        </is>
      </c>
      <c r="V6" s="524" t="n"/>
      <c r="W6" s="247" t="inlineStr">
        <is>
          <t>受講時期（9月開始）</t>
        </is>
      </c>
      <c r="X6" s="525" t="n"/>
      <c r="Y6" s="525" t="n"/>
      <c r="Z6" s="526" t="n"/>
    </row>
    <row r="7" ht="18" customHeight="1" s="466">
      <c r="A7" s="79" t="inlineStr">
        <is>
          <t>標準受講期</t>
        </is>
      </c>
      <c r="B7" s="72" t="inlineStr">
        <is>
          <t>1月</t>
        </is>
      </c>
      <c r="C7" s="72" t="inlineStr">
        <is>
          <t>2月</t>
        </is>
      </c>
      <c r="D7" s="72" t="inlineStr">
        <is>
          <t>3月</t>
        </is>
      </c>
      <c r="E7" s="71" t="inlineStr">
        <is>
          <t>春期講習</t>
        </is>
      </c>
      <c r="F7" s="72" t="inlineStr">
        <is>
          <t>4月</t>
        </is>
      </c>
      <c r="G7" s="72" t="inlineStr">
        <is>
          <t>5月</t>
        </is>
      </c>
      <c r="H7" s="72" t="inlineStr">
        <is>
          <t>6月</t>
        </is>
      </c>
      <c r="I7" s="72" t="inlineStr">
        <is>
          <t>7月</t>
        </is>
      </c>
      <c r="J7" s="72" t="inlineStr">
        <is>
          <t>8月</t>
        </is>
      </c>
      <c r="K7" s="71" t="inlineStr">
        <is>
          <t>夏期Ⅰ期</t>
        </is>
      </c>
      <c r="L7" s="71" t="inlineStr">
        <is>
          <t>夏期Ⅱ期</t>
        </is>
      </c>
      <c r="M7" s="72" t="inlineStr">
        <is>
          <t>9月</t>
        </is>
      </c>
      <c r="N7" s="72" t="inlineStr">
        <is>
          <t>10月</t>
        </is>
      </c>
      <c r="O7" s="72" t="inlineStr">
        <is>
          <t>11月</t>
        </is>
      </c>
      <c r="P7" s="72" t="inlineStr">
        <is>
          <t>12月</t>
        </is>
      </c>
      <c r="Q7" s="71" t="inlineStr">
        <is>
          <t>直前Ⅰ期</t>
        </is>
      </c>
      <c r="R7" s="71" t="inlineStr">
        <is>
          <t>直前Ⅱ期</t>
        </is>
      </c>
      <c r="S7" s="527" t="n"/>
      <c r="U7" s="528" t="n"/>
      <c r="V7" s="529" t="n"/>
      <c r="W7" s="198" t="inlineStr">
        <is>
          <t>9月</t>
        </is>
      </c>
      <c r="X7" s="168" t="inlineStr">
        <is>
          <t>10月</t>
        </is>
      </c>
      <c r="Y7" s="168" t="inlineStr">
        <is>
          <t>11月</t>
        </is>
      </c>
      <c r="Z7" s="185" t="inlineStr">
        <is>
          <t>12月</t>
        </is>
      </c>
    </row>
    <row r="8" ht="20.1" customHeight="1" s="466">
      <c r="A8" s="272" t="inlineStr">
        <is>
          <t>英語</t>
        </is>
      </c>
      <c r="B8" s="530" t="n"/>
      <c r="C8" s="530" t="inlineStr">
        <is>
          <t>G3EK　難関国公立大英語</t>
        </is>
      </c>
      <c r="D8" s="531" t="n"/>
      <c r="E8" s="531" t="n"/>
      <c r="F8" s="531" t="n"/>
      <c r="G8" s="531" t="n"/>
      <c r="H8" s="531" t="n"/>
      <c r="I8" s="531" t="n"/>
      <c r="J8" s="532" t="n"/>
      <c r="K8" s="530" t="inlineStr">
        <is>
          <t>NG3EK</t>
        </is>
      </c>
      <c r="L8" s="532" t="n"/>
      <c r="M8" s="530" t="inlineStr">
        <is>
          <t>G3EK　難関国公立大英語</t>
        </is>
      </c>
      <c r="N8" s="531" t="n"/>
      <c r="O8" s="531" t="n"/>
      <c r="P8" s="532" t="n"/>
      <c r="Q8" s="533" t="inlineStr">
        <is>
          <t>FG3EK</t>
        </is>
      </c>
      <c r="R8" s="531" t="n"/>
      <c r="S8" s="94">
        <f>IF((COUNTIF($B9:$R9,"?*")-COUNTIF($B9:$R9,"※")+COUNTIF($B9:$R9,"*・*"))=0,"",(COUNTIF($B9:$R9,"☑*")+COUNTIF($B9:$R9,"☑*・*"))&amp;"/"&amp;(COUNTIF($B9:$R9,"?*")-COUNTIF($B9:$R9,"※")+COUNTIF($B9:$R9,"*・*"))&amp;"回"&amp;IF(SUMPRODUCT((LEFT($B9:$R9,1)&lt;&gt;"☑")*($B9:$R9&lt;&gt;"")*($B9:$R9&lt;&gt;"※")*(期間終了日&lt;基準日)*(1+ISNUMBER(FIND("・",$B9:$R9))))&gt;0,CHAR(10)&amp;"遅れ"&amp;SUMPRODUCT((LEFT($B9:$R9,1)&lt;&gt;"☑")*($B9:$R9&lt;&gt;"")*($B9:$R9&lt;&gt;"※")*(期間終了日&lt;基準日)*(1+ISNUMBER(FIND("・",$B9:$R9)))),""))</f>
        <v/>
      </c>
      <c r="U8" s="203" t="n"/>
      <c r="V8" s="534" t="inlineStr">
        <is>
          <t>G3EQ　学研 共通テスト 英語</t>
        </is>
      </c>
      <c r="W8" s="535" t="inlineStr">
        <is>
          <t>練成1・2</t>
        </is>
      </c>
      <c r="X8" s="536" t="inlineStr">
        <is>
          <t>練成3・4</t>
        </is>
      </c>
      <c r="Y8" s="536" t="inlineStr">
        <is>
          <t>実戦1</t>
        </is>
      </c>
      <c r="Z8" s="537" t="inlineStr">
        <is>
          <t>実戦2</t>
        </is>
      </c>
    </row>
    <row r="9" ht="14.1" customHeight="1" s="466">
      <c r="A9" s="506" t="n"/>
      <c r="B9" s="538" t="n"/>
      <c r="C9" s="538" t="inlineStr">
        <is>
          <t>練成1</t>
        </is>
      </c>
      <c r="D9" s="538" t="inlineStr">
        <is>
          <t>練成2</t>
        </is>
      </c>
      <c r="E9" s="538" t="inlineStr">
        <is>
          <t>練成3</t>
        </is>
      </c>
      <c r="F9" s="538" t="inlineStr">
        <is>
          <t>練成4</t>
        </is>
      </c>
      <c r="G9" s="538" t="inlineStr">
        <is>
          <t>練成5</t>
        </is>
      </c>
      <c r="H9" s="538" t="inlineStr">
        <is>
          <t>練成6</t>
        </is>
      </c>
      <c r="I9" s="538" t="inlineStr">
        <is>
          <t>練成7</t>
        </is>
      </c>
      <c r="J9" s="539" t="inlineStr">
        <is>
          <t>練成8</t>
        </is>
      </c>
      <c r="K9" s="540" t="inlineStr">
        <is>
          <t>夏期1</t>
        </is>
      </c>
      <c r="L9" s="539" t="inlineStr">
        <is>
          <t>※</t>
        </is>
      </c>
      <c r="M9" s="540" t="inlineStr">
        <is>
          <t>実戦1</t>
        </is>
      </c>
      <c r="N9" s="538" t="inlineStr">
        <is>
          <t>実戦2</t>
        </is>
      </c>
      <c r="O9" s="538" t="inlineStr">
        <is>
          <t>実戦3</t>
        </is>
      </c>
      <c r="P9" s="539" t="inlineStr">
        <is>
          <t>実戦4</t>
        </is>
      </c>
      <c r="Q9" s="540" t="inlineStr">
        <is>
          <t>直前1</t>
        </is>
      </c>
      <c r="R9" s="541" t="inlineStr">
        <is>
          <t>※</t>
        </is>
      </c>
      <c r="S9" s="95">
        <f>IF((COUNTIF($B9:$R9,"?*")-COUNTIF($B9:$R9,"※")+COUNTIF($B9:$R9,"*・*"))=0,"",(COUNTIF($B9:$R9,"☑*")+COUNTIF($B9:$R9,"☑*・*"))/(COUNTIF($B9:$R9,"?*")-COUNTIF($B9:$R9,"※")+COUNTIF($B9:$R9,"*・*")))</f>
        <v/>
      </c>
      <c r="U9" s="203" t="n"/>
      <c r="V9" s="534" t="n"/>
      <c r="W9" s="535" t="n"/>
      <c r="X9" s="536" t="n"/>
      <c r="Y9" s="536" t="n"/>
      <c r="Z9" s="537" t="n"/>
      <c r="AB9" s="474" t="inlineStr">
        <is>
          <t>↑ 設定シートの受験科目（○）に合わせて科目を表示/非表示</t>
        </is>
      </c>
    </row>
    <row r="10" ht="12.95" customHeight="1" s="466">
      <c r="A10" s="506" t="n"/>
      <c r="B10" s="542" t="inlineStr">
        <is>
          <t>【塾】英文法・語法 Vintage</t>
        </is>
      </c>
      <c r="C10" s="543" t="n"/>
      <c r="D10" s="543" t="n"/>
      <c r="E10" s="543" t="n"/>
      <c r="F10" s="544" t="inlineStr">
        <is>
          <t>【塾】ポレポレ英文読解プロセス50（精読・和訳）</t>
        </is>
      </c>
      <c r="G10" s="543" t="n"/>
      <c r="H10" s="543" t="n"/>
      <c r="I10" s="543" t="n"/>
      <c r="J10" s="543" t="n"/>
      <c r="K10" s="543" t="n"/>
      <c r="L10" s="545" t="n"/>
      <c r="M10" s="546" t="inlineStr">
        <is>
          <t>【塾】やっておきたい英語長文500（内容説明・要約）</t>
        </is>
      </c>
      <c r="N10" s="543" t="n"/>
      <c r="O10" s="543" t="n"/>
      <c r="P10" s="545" t="n"/>
      <c r="Q10" s="547" t="inlineStr">
        <is>
          <t>【塾】一橋大学過去問</t>
        </is>
      </c>
      <c r="R10" s="543" t="n"/>
      <c r="S10" s="111" t="n"/>
      <c r="U10" s="203" t="n"/>
      <c r="V10" s="534" t="n"/>
      <c r="W10" s="535" t="n"/>
      <c r="X10" s="536" t="n"/>
      <c r="Y10" s="536" t="n"/>
      <c r="Z10" s="537" t="n"/>
      <c r="AB10" s="32" t="n"/>
    </row>
    <row r="11" ht="12" customHeight="1" s="466">
      <c r="A11" s="506" t="n"/>
      <c r="B11" s="548" t="inlineStr">
        <is>
          <t>☐</t>
        </is>
      </c>
      <c r="C11" s="548" t="inlineStr">
        <is>
          <t>☐</t>
        </is>
      </c>
      <c r="D11" s="549" t="inlineStr">
        <is>
          <t>☐</t>
        </is>
      </c>
      <c r="E11" s="549" t="inlineStr">
        <is>
          <t>☐</t>
        </is>
      </c>
      <c r="F11" s="549" t="inlineStr">
        <is>
          <t>☐</t>
        </is>
      </c>
      <c r="G11" s="549" t="inlineStr">
        <is>
          <t>☐</t>
        </is>
      </c>
      <c r="H11" s="549" t="inlineStr">
        <is>
          <t>☐</t>
        </is>
      </c>
      <c r="I11" s="549" t="inlineStr">
        <is>
          <t>☐</t>
        </is>
      </c>
      <c r="J11" s="550" t="inlineStr">
        <is>
          <t>☐</t>
        </is>
      </c>
      <c r="K11" s="548" t="inlineStr">
        <is>
          <t>☐</t>
        </is>
      </c>
      <c r="L11" s="550" t="inlineStr">
        <is>
          <t>☐</t>
        </is>
      </c>
      <c r="M11" s="548" t="inlineStr">
        <is>
          <t>☐</t>
        </is>
      </c>
      <c r="N11" s="549" t="inlineStr">
        <is>
          <t>☐</t>
        </is>
      </c>
      <c r="O11" s="549" t="inlineStr">
        <is>
          <t>☐</t>
        </is>
      </c>
      <c r="P11" s="550" t="inlineStr">
        <is>
          <t>☐</t>
        </is>
      </c>
      <c r="Q11" s="548" t="inlineStr">
        <is>
          <t>☐</t>
        </is>
      </c>
      <c r="R11" s="551" t="inlineStr">
        <is>
          <t>☐</t>
        </is>
      </c>
      <c r="S11" s="158">
        <f>IF(COUNTIF($B11:$R11,"?")=0,"","塾 "&amp;COUNTIF($B11:$R11,"☑")&amp;"/"&amp;COUNTIF($B11:$R11,"?"))</f>
        <v/>
      </c>
      <c r="U11" s="203" t="n"/>
      <c r="V11" s="534" t="n"/>
      <c r="W11" s="535" t="n"/>
      <c r="X11" s="536" t="n"/>
      <c r="Y11" s="536" t="n"/>
      <c r="Z11" s="537" t="n"/>
      <c r="AB11" s="34" t="n"/>
    </row>
    <row r="12" ht="12.95" customHeight="1" s="466">
      <c r="A12" s="506" t="n"/>
      <c r="B12" s="552" t="inlineStr">
        <is>
          <t>【家】ターゲット1900（毎週テスト）</t>
        </is>
      </c>
      <c r="F12" s="553" t="inlineStr">
        <is>
          <t>【家】ターゲット1900＋ドラゴン・イングリッシュ基本英文100</t>
        </is>
      </c>
      <c r="L12" s="554" t="n"/>
      <c r="M12" s="555" t="inlineStr">
        <is>
          <t>【家】ターゲット1900仕上げ＋共通テスト過去問</t>
        </is>
      </c>
      <c r="P12" s="554" t="n"/>
      <c r="Q12" s="556" t="inlineStr">
        <is>
          <t>【家】一橋大学過去問</t>
        </is>
      </c>
      <c r="S12" s="111" t="n"/>
      <c r="U12" s="203" t="n"/>
      <c r="V12" s="534" t="n"/>
      <c r="W12" s="535" t="n"/>
      <c r="X12" s="536" t="n"/>
      <c r="Y12" s="536" t="n"/>
      <c r="Z12" s="537" t="n"/>
    </row>
    <row r="13" ht="12" customHeight="1" s="466">
      <c r="A13" s="557" t="n"/>
      <c r="B13" s="558" t="inlineStr">
        <is>
          <t>☐</t>
        </is>
      </c>
      <c r="C13" s="558" t="inlineStr">
        <is>
          <t>☐</t>
        </is>
      </c>
      <c r="D13" s="559" t="inlineStr">
        <is>
          <t>☐</t>
        </is>
      </c>
      <c r="E13" s="559" t="inlineStr">
        <is>
          <t>☐</t>
        </is>
      </c>
      <c r="F13" s="559" t="inlineStr">
        <is>
          <t>☐</t>
        </is>
      </c>
      <c r="G13" s="559" t="inlineStr">
        <is>
          <t>☐</t>
        </is>
      </c>
      <c r="H13" s="559" t="inlineStr">
        <is>
          <t>☐</t>
        </is>
      </c>
      <c r="I13" s="559" t="inlineStr">
        <is>
          <t>☐</t>
        </is>
      </c>
      <c r="J13" s="560" t="inlineStr">
        <is>
          <t>☐</t>
        </is>
      </c>
      <c r="K13" s="558" t="inlineStr">
        <is>
          <t>☐</t>
        </is>
      </c>
      <c r="L13" s="560" t="inlineStr">
        <is>
          <t>☐</t>
        </is>
      </c>
      <c r="M13" s="558" t="inlineStr">
        <is>
          <t>☐</t>
        </is>
      </c>
      <c r="N13" s="559" t="inlineStr">
        <is>
          <t>☐</t>
        </is>
      </c>
      <c r="O13" s="559" t="inlineStr">
        <is>
          <t>☐</t>
        </is>
      </c>
      <c r="P13" s="560" t="inlineStr">
        <is>
          <t>☐</t>
        </is>
      </c>
      <c r="Q13" s="558" t="inlineStr">
        <is>
          <t>☐</t>
        </is>
      </c>
      <c r="R13" s="561" t="inlineStr">
        <is>
          <t>☐</t>
        </is>
      </c>
      <c r="S13" s="158">
        <f>IF(COUNTIF($B13:$R13,"?")=0,"","家 "&amp;COUNTIF($B13:$R13,"☑")&amp;"/"&amp;COUNTIF($B13:$R13,"?"))</f>
        <v/>
      </c>
      <c r="U13" s="204" t="n"/>
      <c r="V13" s="562" t="n"/>
      <c r="W13" s="563" t="n"/>
      <c r="X13" s="564" t="n"/>
      <c r="Y13" s="564" t="n"/>
      <c r="Z13" s="565" t="n"/>
    </row>
    <row r="14" ht="20.1" customHeight="1" s="466">
      <c r="A14" s="566" t="inlineStr">
        <is>
          <t>数学</t>
        </is>
      </c>
      <c r="B14" s="530" t="n"/>
      <c r="C14" s="530" t="inlineStr">
        <is>
          <t>3NN　難関大数学ⅠA・ⅡB・C</t>
        </is>
      </c>
      <c r="D14" s="531" t="n"/>
      <c r="E14" s="531" t="n"/>
      <c r="F14" s="531" t="n"/>
      <c r="G14" s="531" t="n"/>
      <c r="H14" s="531" t="n"/>
      <c r="I14" s="531" t="n"/>
      <c r="J14" s="532" t="n"/>
      <c r="K14" s="530" t="inlineStr">
        <is>
          <t>N3NN</t>
        </is>
      </c>
      <c r="L14" s="532" t="n"/>
      <c r="M14" s="530" t="inlineStr">
        <is>
          <t>3NN　難関大数学ⅠA・ⅡB・C</t>
        </is>
      </c>
      <c r="N14" s="531" t="n"/>
      <c r="O14" s="531" t="n"/>
      <c r="P14" s="532" t="n"/>
      <c r="Q14" s="533" t="inlineStr">
        <is>
          <t>F3NN</t>
        </is>
      </c>
      <c r="R14" s="531" t="n"/>
      <c r="S14" s="94">
        <f>IF((COUNTIF($B15:$R15,"?*")-COUNTIF($B15:$R15,"※")+COUNTIF($B15:$R15,"*・*"))=0,"",(COUNTIF($B15:$R15,"☑*")+COUNTIF($B15:$R15,"☑*・*"))&amp;"/"&amp;(COUNTIF($B15:$R15,"?*")-COUNTIF($B15:$R15,"※")+COUNTIF($B15:$R15,"*・*"))&amp;"回"&amp;IF(SUMPRODUCT((LEFT($B15:$R15,1)&lt;&gt;"☑")*($B15:$R15&lt;&gt;"")*($B15:$R15&lt;&gt;"※")*(期間終了日&lt;基準日)*(1+ISNUMBER(FIND("・",$B15:$R15))))&gt;0,CHAR(10)&amp;"遅れ"&amp;SUMPRODUCT((LEFT($B15:$R15,1)&lt;&gt;"☑")*($B15:$R15&lt;&gt;"")*($B15:$R15&lt;&gt;"※")*(期間終了日&lt;基準日)*(1+ISNUMBER(FIND("・",$B15:$R15)))),""))</f>
        <v/>
      </c>
      <c r="U14" s="203" t="n"/>
      <c r="V14" s="534" t="inlineStr">
        <is>
          <t>G3M1Q　学研 共通テスト 数学Ⅰ・A</t>
        </is>
      </c>
      <c r="W14" s="535" t="inlineStr">
        <is>
          <t>練成1</t>
        </is>
      </c>
      <c r="X14" s="536" t="inlineStr">
        <is>
          <t>練成2</t>
        </is>
      </c>
      <c r="Y14" s="536" t="inlineStr">
        <is>
          <t>実戦1</t>
        </is>
      </c>
      <c r="Z14" s="537" t="inlineStr">
        <is>
          <t>実戦2</t>
        </is>
      </c>
    </row>
    <row r="15" ht="14.1" customHeight="1" s="466">
      <c r="A15" s="506" t="n"/>
      <c r="B15" s="567" t="n"/>
      <c r="C15" s="567" t="inlineStr">
        <is>
          <t>練成1</t>
        </is>
      </c>
      <c r="D15" s="567" t="inlineStr">
        <is>
          <t>練成2</t>
        </is>
      </c>
      <c r="E15" s="567" t="inlineStr">
        <is>
          <t>練成3・4</t>
        </is>
      </c>
      <c r="F15" s="567" t="inlineStr">
        <is>
          <t>練成5</t>
        </is>
      </c>
      <c r="G15" s="567" t="inlineStr">
        <is>
          <t>練成6</t>
        </is>
      </c>
      <c r="H15" s="567" t="inlineStr">
        <is>
          <t>練成7</t>
        </is>
      </c>
      <c r="I15" s="567" t="inlineStr">
        <is>
          <t>練成8</t>
        </is>
      </c>
      <c r="J15" s="568" t="inlineStr">
        <is>
          <t>練成9・10</t>
        </is>
      </c>
      <c r="K15" s="569" t="inlineStr">
        <is>
          <t>夏期1</t>
        </is>
      </c>
      <c r="L15" s="568" t="inlineStr">
        <is>
          <t>夏期2</t>
        </is>
      </c>
      <c r="M15" s="569" t="inlineStr">
        <is>
          <t>実戦1</t>
        </is>
      </c>
      <c r="N15" s="567" t="inlineStr">
        <is>
          <t>実戦2</t>
        </is>
      </c>
      <c r="O15" s="567" t="inlineStr">
        <is>
          <t>実戦3</t>
        </is>
      </c>
      <c r="P15" s="568" t="inlineStr">
        <is>
          <t>実戦4</t>
        </is>
      </c>
      <c r="Q15" s="569" t="inlineStr">
        <is>
          <t>直前1</t>
        </is>
      </c>
      <c r="R15" s="570" t="inlineStr">
        <is>
          <t>直前2</t>
        </is>
      </c>
      <c r="S15" s="95">
        <f>IF((COUNTIF($B15:$R15,"?*")-COUNTIF($B15:$R15,"※")+COUNTIF($B15:$R15,"*・*"))=0,"",(COUNTIF($B15:$R15,"☑*")+COUNTIF($B15:$R15,"☑*・*"))/(COUNTIF($B15:$R15,"?*")-COUNTIF($B15:$R15,"※")+COUNTIF($B15:$R15,"*・*")))</f>
        <v/>
      </c>
      <c r="U15" s="203" t="n"/>
      <c r="V15" s="534" t="inlineStr">
        <is>
          <t>G3M2Q　学研 共通テスト 数学Ⅱ・B・C</t>
        </is>
      </c>
      <c r="W15" s="535" t="inlineStr">
        <is>
          <t>練成1</t>
        </is>
      </c>
      <c r="X15" s="536" t="inlineStr">
        <is>
          <t>練成2・3</t>
        </is>
      </c>
      <c r="Y15" s="536" t="inlineStr">
        <is>
          <t>実戦1</t>
        </is>
      </c>
      <c r="Z15" s="537" t="inlineStr">
        <is>
          <t>実戦2</t>
        </is>
      </c>
    </row>
    <row r="16" ht="12.95" customHeight="1" s="466">
      <c r="A16" s="506" t="n"/>
      <c r="B16" s="542" t="inlineStr">
        <is>
          <t>【塾】青チャート ⅠA・ⅡBC（例題★3まで）</t>
        </is>
      </c>
      <c r="C16" s="543" t="n"/>
      <c r="D16" s="543" t="n"/>
      <c r="E16" s="543" t="n"/>
      <c r="F16" s="543" t="n"/>
      <c r="G16" s="543" t="n"/>
      <c r="H16" s="543" t="n"/>
      <c r="I16" s="543" t="n"/>
      <c r="J16" s="543" t="n"/>
      <c r="K16" s="546" t="inlineStr">
        <is>
          <t>【塾】青チャート総復習</t>
        </is>
      </c>
      <c r="L16" s="545" t="n"/>
      <c r="M16" s="546" t="inlineStr">
        <is>
          <t>【塾】文系数学の良問プラチカ</t>
        </is>
      </c>
      <c r="N16" s="543" t="n"/>
      <c r="O16" s="543" t="n"/>
      <c r="P16" s="545" t="n"/>
      <c r="Q16" s="547" t="inlineStr">
        <is>
          <t>【塾】一橋大学過去問</t>
        </is>
      </c>
      <c r="R16" s="543" t="n"/>
      <c r="S16" s="111" t="n"/>
      <c r="U16" s="203" t="n"/>
      <c r="V16" s="534" t="n"/>
      <c r="W16" s="535" t="n"/>
      <c r="X16" s="536" t="n"/>
      <c r="Y16" s="536" t="n"/>
      <c r="Z16" s="537" t="n"/>
      <c r="AB16" s="474" t="inlineStr">
        <is>
          <t>↑ データシートの内容で管理表を作り直します</t>
        </is>
      </c>
    </row>
    <row r="17" ht="12" customHeight="1" s="466">
      <c r="A17" s="506" t="n"/>
      <c r="B17" s="571" t="inlineStr">
        <is>
          <t>☐</t>
        </is>
      </c>
      <c r="C17" s="571" t="inlineStr">
        <is>
          <t>☐</t>
        </is>
      </c>
      <c r="D17" s="572" t="inlineStr">
        <is>
          <t>☐</t>
        </is>
      </c>
      <c r="E17" s="572" t="inlineStr">
        <is>
          <t>☐</t>
        </is>
      </c>
      <c r="F17" s="572" t="inlineStr">
        <is>
          <t>☐</t>
        </is>
      </c>
      <c r="G17" s="572" t="inlineStr">
        <is>
          <t>☐</t>
        </is>
      </c>
      <c r="H17" s="572" t="inlineStr">
        <is>
          <t>☐</t>
        </is>
      </c>
      <c r="I17" s="572" t="inlineStr">
        <is>
          <t>☐</t>
        </is>
      </c>
      <c r="J17" s="573" t="inlineStr">
        <is>
          <t>☐</t>
        </is>
      </c>
      <c r="K17" s="571" t="inlineStr">
        <is>
          <t>☐</t>
        </is>
      </c>
      <c r="L17" s="573" t="inlineStr">
        <is>
          <t>☐</t>
        </is>
      </c>
      <c r="M17" s="571" t="inlineStr">
        <is>
          <t>☐</t>
        </is>
      </c>
      <c r="N17" s="572" t="inlineStr">
        <is>
          <t>☐</t>
        </is>
      </c>
      <c r="O17" s="572" t="inlineStr">
        <is>
          <t>☐</t>
        </is>
      </c>
      <c r="P17" s="573" t="inlineStr">
        <is>
          <t>☐</t>
        </is>
      </c>
      <c r="Q17" s="571" t="inlineStr">
        <is>
          <t>☐</t>
        </is>
      </c>
      <c r="R17" s="574" t="inlineStr">
        <is>
          <t>☐</t>
        </is>
      </c>
      <c r="S17" s="158">
        <f>IF(COUNTIF($B17:$R17,"?")=0,"","塾 "&amp;COUNTIF($B17:$R17,"☑")&amp;"/"&amp;COUNTIF($B17:$R17,"?"))</f>
        <v/>
      </c>
      <c r="U17" s="203" t="n"/>
      <c r="V17" s="534" t="n"/>
      <c r="W17" s="535" t="n"/>
      <c r="X17" s="536" t="n"/>
      <c r="Y17" s="536" t="n"/>
      <c r="Z17" s="537" t="n"/>
    </row>
    <row r="18" ht="12.95" customHeight="1" s="466">
      <c r="A18" s="506" t="n"/>
      <c r="B18" s="553" t="inlineStr">
        <is>
          <t>【家】入試数学の基礎問題精講 ⅠA・ⅡBC（1冊10周）</t>
        </is>
      </c>
      <c r="L18" s="554" t="n"/>
      <c r="M18" s="555" t="inlineStr">
        <is>
          <t>【家】基礎問題精講の反復＋共通テスト過去問</t>
        </is>
      </c>
      <c r="P18" s="554" t="n"/>
      <c r="Q18" s="556" t="inlineStr">
        <is>
          <t>【家】一橋大学過去問</t>
        </is>
      </c>
      <c r="S18" s="111" t="n"/>
      <c r="U18" s="203" t="n"/>
      <c r="V18" s="534" t="n"/>
      <c r="W18" s="535" t="n"/>
      <c r="X18" s="536" t="n"/>
      <c r="Y18" s="536" t="n"/>
      <c r="Z18" s="537" t="n"/>
    </row>
    <row r="19" ht="12" customHeight="1" s="466">
      <c r="A19" s="557" t="n"/>
      <c r="B19" s="558" t="inlineStr">
        <is>
          <t>☐</t>
        </is>
      </c>
      <c r="C19" s="558" t="inlineStr">
        <is>
          <t>☐</t>
        </is>
      </c>
      <c r="D19" s="559" t="inlineStr">
        <is>
          <t>☐</t>
        </is>
      </c>
      <c r="E19" s="559" t="inlineStr">
        <is>
          <t>☐</t>
        </is>
      </c>
      <c r="F19" s="559" t="inlineStr">
        <is>
          <t>☐</t>
        </is>
      </c>
      <c r="G19" s="559" t="inlineStr">
        <is>
          <t>☐</t>
        </is>
      </c>
      <c r="H19" s="559" t="inlineStr">
        <is>
          <t>☐</t>
        </is>
      </c>
      <c r="I19" s="559" t="inlineStr">
        <is>
          <t>☐</t>
        </is>
      </c>
      <c r="J19" s="560" t="inlineStr">
        <is>
          <t>☐</t>
        </is>
      </c>
      <c r="K19" s="558" t="inlineStr">
        <is>
          <t>☐</t>
        </is>
      </c>
      <c r="L19" s="560" t="inlineStr">
        <is>
          <t>☐</t>
        </is>
      </c>
      <c r="M19" s="558" t="inlineStr">
        <is>
          <t>☐</t>
        </is>
      </c>
      <c r="N19" s="559" t="inlineStr">
        <is>
          <t>☐</t>
        </is>
      </c>
      <c r="O19" s="559" t="inlineStr">
        <is>
          <t>☐</t>
        </is>
      </c>
      <c r="P19" s="560" t="inlineStr">
        <is>
          <t>☐</t>
        </is>
      </c>
      <c r="Q19" s="558" t="inlineStr">
        <is>
          <t>☐</t>
        </is>
      </c>
      <c r="R19" s="561" t="inlineStr">
        <is>
          <t>☐</t>
        </is>
      </c>
      <c r="S19" s="158">
        <f>IF(COUNTIF($B19:$R19,"?")=0,"","家 "&amp;COUNTIF($B19:$R19,"☑")&amp;"/"&amp;COUNTIF($B19:$R19,"?"))</f>
        <v/>
      </c>
      <c r="U19" s="204" t="n"/>
      <c r="V19" s="562" t="n"/>
      <c r="W19" s="563" t="n"/>
      <c r="X19" s="564" t="n"/>
      <c r="Y19" s="564" t="n"/>
      <c r="Z19" s="565" t="n"/>
    </row>
    <row r="20" ht="20.1" customHeight="1" s="466">
      <c r="A20" s="575" t="inlineStr">
        <is>
          <t>現代文</t>
        </is>
      </c>
      <c r="B20" s="530" t="n"/>
      <c r="C20" s="530" t="inlineStr">
        <is>
          <t>G3LGK　難関国公立大現代文</t>
        </is>
      </c>
      <c r="D20" s="531" t="n"/>
      <c r="E20" s="531" t="n"/>
      <c r="F20" s="531" t="n"/>
      <c r="G20" s="531" t="n"/>
      <c r="H20" s="531" t="n"/>
      <c r="I20" s="531" t="n"/>
      <c r="J20" s="532" t="n"/>
      <c r="K20" s="530" t="inlineStr">
        <is>
          <t>NG3LGK</t>
        </is>
      </c>
      <c r="L20" s="532" t="n"/>
      <c r="M20" s="530" t="inlineStr">
        <is>
          <t>G3LGK　難関国公立大現代文</t>
        </is>
      </c>
      <c r="N20" s="531" t="n"/>
      <c r="O20" s="531" t="n"/>
      <c r="P20" s="532" t="n"/>
      <c r="Q20" s="533" t="inlineStr">
        <is>
          <t>FG3LGK</t>
        </is>
      </c>
      <c r="R20" s="531" t="n"/>
      <c r="S20" s="94">
        <f>IF((COUNTIF($B21:$R21,"?*")-COUNTIF($B21:$R21,"※")+COUNTIF($B21:$R21,"*・*"))=0,"",(COUNTIF($B21:$R21,"☑*")+COUNTIF($B21:$R21,"☑*・*"))&amp;"/"&amp;(COUNTIF($B21:$R21,"?*")-COUNTIF($B21:$R21,"※")+COUNTIF($B21:$R21,"*・*"))&amp;"回"&amp;IF(SUMPRODUCT((LEFT($B21:$R21,1)&lt;&gt;"☑")*($B21:$R21&lt;&gt;"")*($B21:$R21&lt;&gt;"※")*(期間終了日&lt;基準日)*(1+ISNUMBER(FIND("・",$B21:$R21))))&gt;0,CHAR(10)&amp;"遅れ"&amp;SUMPRODUCT((LEFT($B21:$R21,1)&lt;&gt;"☑")*($B21:$R21&lt;&gt;"")*($B21:$R21&lt;&gt;"※")*(期間終了日&lt;基準日)*(1+ISNUMBER(FIND("・",$B21:$R21)))),""))</f>
        <v/>
      </c>
      <c r="U20" s="203" t="n"/>
      <c r="V20" s="534" t="inlineStr">
        <is>
          <t>G3LGQ　学研 共通テスト 現代文</t>
        </is>
      </c>
      <c r="W20" s="535" t="inlineStr">
        <is>
          <t>練成1</t>
        </is>
      </c>
      <c r="X20" s="536" t="inlineStr">
        <is>
          <t>練成2</t>
        </is>
      </c>
      <c r="Y20" s="536" t="inlineStr">
        <is>
          <t>実戦1</t>
        </is>
      </c>
      <c r="Z20" s="537" t="inlineStr">
        <is>
          <t>実戦2</t>
        </is>
      </c>
    </row>
    <row r="21" ht="14.1" customHeight="1" s="466">
      <c r="A21" s="506" t="n"/>
      <c r="B21" s="576" t="n"/>
      <c r="C21" s="576" t="inlineStr">
        <is>
          <t>練成1</t>
        </is>
      </c>
      <c r="D21" s="576" t="inlineStr">
        <is>
          <t>練成2</t>
        </is>
      </c>
      <c r="E21" s="576" t="inlineStr">
        <is>
          <t>※</t>
        </is>
      </c>
      <c r="F21" s="576" t="inlineStr">
        <is>
          <t>※</t>
        </is>
      </c>
      <c r="G21" s="576" t="inlineStr">
        <is>
          <t>※</t>
        </is>
      </c>
      <c r="H21" s="576" t="inlineStr">
        <is>
          <t>※</t>
        </is>
      </c>
      <c r="I21" s="576" t="inlineStr">
        <is>
          <t>※</t>
        </is>
      </c>
      <c r="J21" s="577" t="inlineStr">
        <is>
          <t>※</t>
        </is>
      </c>
      <c r="K21" s="578" t="inlineStr">
        <is>
          <t>夏期1</t>
        </is>
      </c>
      <c r="L21" s="577" t="inlineStr">
        <is>
          <t>※</t>
        </is>
      </c>
      <c r="M21" s="578" t="inlineStr">
        <is>
          <t>実戦1</t>
        </is>
      </c>
      <c r="N21" s="576" t="inlineStr">
        <is>
          <t>実戦2</t>
        </is>
      </c>
      <c r="O21" s="576" t="inlineStr">
        <is>
          <t>※</t>
        </is>
      </c>
      <c r="P21" s="577" t="inlineStr">
        <is>
          <t>※</t>
        </is>
      </c>
      <c r="Q21" s="578" t="inlineStr">
        <is>
          <t>直前1</t>
        </is>
      </c>
      <c r="R21" s="579" t="inlineStr">
        <is>
          <t>※</t>
        </is>
      </c>
      <c r="S21" s="95">
        <f>IF((COUNTIF($B21:$R21,"?*")-COUNTIF($B21:$R21,"※")+COUNTIF($B21:$R21,"*・*"))=0,"",(COUNTIF($B21:$R21,"☑*")+COUNTIF($B21:$R21,"☑*・*"))/(COUNTIF($B21:$R21,"?*")-COUNTIF($B21:$R21,"※")+COUNTIF($B21:$R21,"*・*")))</f>
        <v/>
      </c>
      <c r="U21" s="203" t="n"/>
      <c r="V21" s="534" t="n"/>
      <c r="W21" s="535" t="n"/>
      <c r="X21" s="536" t="n"/>
      <c r="Y21" s="536" t="n"/>
      <c r="Z21" s="537" t="n"/>
    </row>
    <row r="22" ht="12.95" customHeight="1" s="466">
      <c r="A22" s="506" t="n"/>
      <c r="B22" s="542" t="inlineStr">
        <is>
          <t>【塾】高2範囲の総復習・診断</t>
        </is>
      </c>
      <c r="C22" s="542" t="n"/>
      <c r="D22" s="547" t="n"/>
      <c r="E22" s="547" t="n"/>
      <c r="F22" s="544" t="inlineStr">
        <is>
          <t>【塾】現代文と格闘する（記述答案づくり）</t>
        </is>
      </c>
      <c r="G22" s="543" t="n"/>
      <c r="H22" s="543" t="n"/>
      <c r="I22" s="543" t="n"/>
      <c r="J22" s="543" t="n"/>
      <c r="K22" s="543" t="n"/>
      <c r="L22" s="545" t="n"/>
      <c r="M22" s="546" t="n"/>
      <c r="N22" s="547" t="n"/>
      <c r="O22" s="547" t="n"/>
      <c r="P22" s="546" t="n"/>
      <c r="Q22" s="547" t="inlineStr">
        <is>
          <t>【塾】一橋大学過去問</t>
        </is>
      </c>
      <c r="R22" s="543" t="n"/>
      <c r="S22" s="111" t="n"/>
      <c r="U22" s="203" t="n"/>
      <c r="V22" s="534" t="n"/>
      <c r="W22" s="535" t="n"/>
      <c r="X22" s="536" t="n"/>
      <c r="Y22" s="536" t="n"/>
      <c r="Z22" s="537" t="n"/>
    </row>
    <row r="23" ht="12" customHeight="1" s="466">
      <c r="A23" s="506" t="n"/>
      <c r="B23" s="580" t="inlineStr">
        <is>
          <t>☐</t>
        </is>
      </c>
      <c r="C23" s="580" t="n"/>
      <c r="D23" s="581" t="n"/>
      <c r="E23" s="581" t="n"/>
      <c r="F23" s="581" t="inlineStr">
        <is>
          <t>☐</t>
        </is>
      </c>
      <c r="G23" s="581" t="inlineStr">
        <is>
          <t>☐</t>
        </is>
      </c>
      <c r="H23" s="581" t="inlineStr">
        <is>
          <t>☐</t>
        </is>
      </c>
      <c r="I23" s="581" t="inlineStr">
        <is>
          <t>☐</t>
        </is>
      </c>
      <c r="J23" s="582" t="inlineStr">
        <is>
          <t>☐</t>
        </is>
      </c>
      <c r="K23" s="580" t="inlineStr">
        <is>
          <t>☐</t>
        </is>
      </c>
      <c r="L23" s="582" t="inlineStr">
        <is>
          <t>☐</t>
        </is>
      </c>
      <c r="M23" s="580" t="n"/>
      <c r="N23" s="581" t="n"/>
      <c r="O23" s="581" t="n"/>
      <c r="P23" s="582" t="n"/>
      <c r="Q23" s="580" t="inlineStr">
        <is>
          <t>☐</t>
        </is>
      </c>
      <c r="R23" s="583" t="inlineStr">
        <is>
          <t>☐</t>
        </is>
      </c>
      <c r="S23" s="158">
        <f>IF(COUNTIF($B23:$R23,"?")=0,"","塾 "&amp;COUNTIF($B23:$R23,"☑")&amp;"/"&amp;COUNTIF($B23:$R23,"?"))</f>
        <v/>
      </c>
      <c r="U23" s="203" t="n"/>
      <c r="V23" s="534" t="n"/>
      <c r="W23" s="535" t="n"/>
      <c r="X23" s="536" t="n"/>
      <c r="Y23" s="536" t="n"/>
      <c r="Z23" s="537" t="n"/>
    </row>
    <row r="24" ht="12.95" customHeight="1" s="466">
      <c r="A24" s="506" t="n"/>
      <c r="B24" s="553" t="inlineStr">
        <is>
          <t>【家】現代文キーワード読解（毎週）</t>
        </is>
      </c>
      <c r="L24" s="554" t="n"/>
      <c r="M24" s="555" t="inlineStr">
        <is>
          <t>【家】共通テスト過去問（現代文）</t>
        </is>
      </c>
      <c r="P24" s="554" t="n"/>
      <c r="Q24" s="556" t="inlineStr">
        <is>
          <t>【家】一橋大学過去問</t>
        </is>
      </c>
      <c r="S24" s="111" t="n"/>
      <c r="U24" s="203" t="n"/>
      <c r="V24" s="534" t="n"/>
      <c r="W24" s="535" t="n"/>
      <c r="X24" s="536" t="n"/>
      <c r="Y24" s="536" t="n"/>
      <c r="Z24" s="537" t="n"/>
    </row>
    <row r="25" ht="12" customHeight="1" s="466">
      <c r="A25" s="557" t="n"/>
      <c r="B25" s="558" t="inlineStr">
        <is>
          <t>☐</t>
        </is>
      </c>
      <c r="C25" s="558" t="inlineStr">
        <is>
          <t>☐</t>
        </is>
      </c>
      <c r="D25" s="559" t="inlineStr">
        <is>
          <t>☐</t>
        </is>
      </c>
      <c r="E25" s="559" t="inlineStr">
        <is>
          <t>☐</t>
        </is>
      </c>
      <c r="F25" s="559" t="inlineStr">
        <is>
          <t>☐</t>
        </is>
      </c>
      <c r="G25" s="559" t="inlineStr">
        <is>
          <t>☐</t>
        </is>
      </c>
      <c r="H25" s="559" t="inlineStr">
        <is>
          <t>☐</t>
        </is>
      </c>
      <c r="I25" s="559" t="inlineStr">
        <is>
          <t>☐</t>
        </is>
      </c>
      <c r="J25" s="560" t="inlineStr">
        <is>
          <t>☐</t>
        </is>
      </c>
      <c r="K25" s="558" t="inlineStr">
        <is>
          <t>☐</t>
        </is>
      </c>
      <c r="L25" s="560" t="inlineStr">
        <is>
          <t>☐</t>
        </is>
      </c>
      <c r="M25" s="558" t="inlineStr">
        <is>
          <t>☐</t>
        </is>
      </c>
      <c r="N25" s="559" t="inlineStr">
        <is>
          <t>☐</t>
        </is>
      </c>
      <c r="O25" s="559" t="inlineStr">
        <is>
          <t>☐</t>
        </is>
      </c>
      <c r="P25" s="560" t="inlineStr">
        <is>
          <t>☐</t>
        </is>
      </c>
      <c r="Q25" s="558" t="inlineStr">
        <is>
          <t>☐</t>
        </is>
      </c>
      <c r="R25" s="561" t="inlineStr">
        <is>
          <t>☐</t>
        </is>
      </c>
      <c r="S25" s="158">
        <f>IF(COUNTIF($B25:$R25,"?")=0,"","家 "&amp;COUNTIF($B25:$R25,"☑")&amp;"/"&amp;COUNTIF($B25:$R25,"?"))</f>
        <v/>
      </c>
      <c r="U25" s="204" t="n"/>
      <c r="V25" s="562" t="n"/>
      <c r="W25" s="563" t="n"/>
      <c r="X25" s="564" t="n"/>
      <c r="Y25" s="564" t="n"/>
      <c r="Z25" s="565" t="n"/>
    </row>
    <row r="26" ht="20.1" customHeight="1" s="466">
      <c r="A26" s="584" t="inlineStr">
        <is>
          <t>古文</t>
        </is>
      </c>
      <c r="B26" s="530" t="n"/>
      <c r="C26" s="530" t="inlineStr">
        <is>
          <t>G3LC　難関大古文ゼミ</t>
        </is>
      </c>
      <c r="D26" s="531" t="n"/>
      <c r="E26" s="531" t="n"/>
      <c r="F26" s="531" t="n"/>
      <c r="G26" s="531" t="n"/>
      <c r="H26" s="531" t="n"/>
      <c r="I26" s="531" t="n"/>
      <c r="J26" s="532" t="n"/>
      <c r="K26" s="530" t="inlineStr">
        <is>
          <t>NG3LC</t>
        </is>
      </c>
      <c r="L26" s="532" t="n"/>
      <c r="M26" s="530" t="inlineStr">
        <is>
          <t>G3LC　難関大古文ゼミ</t>
        </is>
      </c>
      <c r="N26" s="531" t="n"/>
      <c r="O26" s="531" t="n"/>
      <c r="P26" s="532" t="n"/>
      <c r="Q26" s="533" t="inlineStr">
        <is>
          <t>FG3LC</t>
        </is>
      </c>
      <c r="R26" s="531" t="n"/>
      <c r="S26" s="94">
        <f>IF((COUNTIF($B27:$R27,"?*")-COUNTIF($B27:$R27,"※")+COUNTIF($B27:$R27,"*・*"))=0,"",(COUNTIF($B27:$R27,"☑*")+COUNTIF($B27:$R27,"☑*・*"))&amp;"/"&amp;(COUNTIF($B27:$R27,"?*")-COUNTIF($B27:$R27,"※")+COUNTIF($B27:$R27,"*・*"))&amp;"回"&amp;IF(SUMPRODUCT((LEFT($B27:$R27,1)&lt;&gt;"☑")*($B27:$R27&lt;&gt;"")*($B27:$R27&lt;&gt;"※")*(期間終了日&lt;基準日)*(1+ISNUMBER(FIND("・",$B27:$R27))))&gt;0,CHAR(10)&amp;"遅れ"&amp;SUMPRODUCT((LEFT($B27:$R27,1)&lt;&gt;"☑")*($B27:$R27&lt;&gt;"")*($B27:$R27&lt;&gt;"※")*(期間終了日&lt;基準日)*(1+ISNUMBER(FIND("・",$B27:$R27)))),""))</f>
        <v/>
      </c>
      <c r="U26" s="203" t="n"/>
      <c r="V26" s="534" t="inlineStr">
        <is>
          <t>G3LCQ　学研 共通テスト 古文</t>
        </is>
      </c>
      <c r="W26" s="535" t="n"/>
      <c r="X26" s="536" t="n"/>
      <c r="Y26" s="536" t="inlineStr">
        <is>
          <t>実戦1</t>
        </is>
      </c>
      <c r="Z26" s="537" t="n"/>
    </row>
    <row r="27" ht="14.1" customHeight="1" s="466">
      <c r="A27" s="506" t="n"/>
      <c r="B27" s="585" t="n"/>
      <c r="C27" s="585" t="inlineStr">
        <is>
          <t>前期1</t>
        </is>
      </c>
      <c r="D27" s="585" t="inlineStr">
        <is>
          <t>前期2</t>
        </is>
      </c>
      <c r="E27" s="585" t="inlineStr">
        <is>
          <t>※</t>
        </is>
      </c>
      <c r="F27" s="585" t="inlineStr">
        <is>
          <t>※</t>
        </is>
      </c>
      <c r="G27" s="585" t="inlineStr">
        <is>
          <t>※</t>
        </is>
      </c>
      <c r="H27" s="585" t="inlineStr">
        <is>
          <t>※</t>
        </is>
      </c>
      <c r="I27" s="585" t="inlineStr">
        <is>
          <t>※</t>
        </is>
      </c>
      <c r="J27" s="586" t="inlineStr">
        <is>
          <t>※</t>
        </is>
      </c>
      <c r="K27" s="587" t="inlineStr">
        <is>
          <t>夏期1</t>
        </is>
      </c>
      <c r="L27" s="586" t="inlineStr">
        <is>
          <t>夏期2</t>
        </is>
      </c>
      <c r="M27" s="587" t="inlineStr">
        <is>
          <t>後期1</t>
        </is>
      </c>
      <c r="N27" s="585" t="inlineStr">
        <is>
          <t>後期2</t>
        </is>
      </c>
      <c r="O27" s="585" t="inlineStr">
        <is>
          <t>※</t>
        </is>
      </c>
      <c r="P27" s="586" t="inlineStr">
        <is>
          <t>※</t>
        </is>
      </c>
      <c r="Q27" s="587" t="inlineStr">
        <is>
          <t>直前1</t>
        </is>
      </c>
      <c r="R27" s="588" t="inlineStr">
        <is>
          <t>※</t>
        </is>
      </c>
      <c r="S27" s="95">
        <f>IF((COUNTIF($B27:$R27,"?*")-COUNTIF($B27:$R27,"※")+COUNTIF($B27:$R27,"*・*"))=0,"",(COUNTIF($B27:$R27,"☑*")+COUNTIF($B27:$R27,"☑*・*"))/(COUNTIF($B27:$R27,"?*")-COUNTIF($B27:$R27,"※")+COUNTIF($B27:$R27,"*・*")))</f>
        <v/>
      </c>
      <c r="U27" s="203" t="n"/>
      <c r="V27" s="534" t="n"/>
      <c r="W27" s="535" t="n"/>
      <c r="X27" s="536" t="n"/>
      <c r="Y27" s="536" t="n"/>
      <c r="Z27" s="537" t="n"/>
    </row>
    <row r="28" ht="12.95" customHeight="1" s="466">
      <c r="A28" s="506" t="n"/>
      <c r="B28" s="542" t="inlineStr">
        <is>
          <t>【塾】古文上達 基礎編 読解と演習45</t>
        </is>
      </c>
      <c r="C28" s="543" t="n"/>
      <c r="D28" s="543" t="n"/>
      <c r="E28" s="543" t="n"/>
      <c r="F28" s="543" t="n"/>
      <c r="G28" s="543" t="n"/>
      <c r="H28" s="543" t="n"/>
      <c r="I28" s="543" t="n"/>
      <c r="J28" s="543" t="n"/>
      <c r="K28" s="546" t="inlineStr">
        <is>
          <t>【塾】古文上達 復習</t>
        </is>
      </c>
      <c r="L28" s="545" t="n"/>
      <c r="M28" s="546" t="inlineStr">
        <is>
          <t>【塾】共通テスト・志望校過去問（古文）</t>
        </is>
      </c>
      <c r="N28" s="543" t="n"/>
      <c r="O28" s="543" t="n"/>
      <c r="P28" s="545" t="n"/>
      <c r="Q28" s="547" t="n"/>
      <c r="R28" s="547" t="n"/>
      <c r="S28" s="111" t="n"/>
      <c r="U28" s="203" t="n"/>
      <c r="V28" s="534" t="n"/>
      <c r="W28" s="535" t="n"/>
      <c r="X28" s="536" t="n"/>
      <c r="Y28" s="536" t="n"/>
      <c r="Z28" s="537" t="n"/>
    </row>
    <row r="29" ht="12" customHeight="1" s="466">
      <c r="A29" s="506" t="n"/>
      <c r="B29" s="589" t="inlineStr">
        <is>
          <t>☐</t>
        </is>
      </c>
      <c r="C29" s="589" t="inlineStr">
        <is>
          <t>☐</t>
        </is>
      </c>
      <c r="D29" s="590" t="inlineStr">
        <is>
          <t>☐</t>
        </is>
      </c>
      <c r="E29" s="590" t="inlineStr">
        <is>
          <t>☐</t>
        </is>
      </c>
      <c r="F29" s="590" t="inlineStr">
        <is>
          <t>☐</t>
        </is>
      </c>
      <c r="G29" s="590" t="inlineStr">
        <is>
          <t>☐</t>
        </is>
      </c>
      <c r="H29" s="590" t="inlineStr">
        <is>
          <t>☐</t>
        </is>
      </c>
      <c r="I29" s="590" t="inlineStr">
        <is>
          <t>☐</t>
        </is>
      </c>
      <c r="J29" s="591" t="inlineStr">
        <is>
          <t>☐</t>
        </is>
      </c>
      <c r="K29" s="589" t="inlineStr">
        <is>
          <t>☐</t>
        </is>
      </c>
      <c r="L29" s="591" t="inlineStr">
        <is>
          <t>☐</t>
        </is>
      </c>
      <c r="M29" s="589" t="inlineStr">
        <is>
          <t>☐</t>
        </is>
      </c>
      <c r="N29" s="590" t="inlineStr">
        <is>
          <t>☐</t>
        </is>
      </c>
      <c r="O29" s="590" t="inlineStr">
        <is>
          <t>☐</t>
        </is>
      </c>
      <c r="P29" s="591" t="inlineStr">
        <is>
          <t>☐</t>
        </is>
      </c>
      <c r="Q29" s="589" t="n"/>
      <c r="R29" s="592" t="n"/>
      <c r="S29" s="158">
        <f>IF(COUNTIF($B29:$R29,"?")=0,"","塾 "&amp;COUNTIF($B29:$R29,"☑")&amp;"/"&amp;COUNTIF($B29:$R29,"?"))</f>
        <v/>
      </c>
      <c r="U29" s="203" t="n"/>
      <c r="V29" s="534" t="n"/>
      <c r="W29" s="535" t="n"/>
      <c r="X29" s="536" t="n"/>
      <c r="Y29" s="536" t="n"/>
      <c r="Z29" s="537" t="n"/>
    </row>
    <row r="30" ht="12.95" customHeight="1" s="466">
      <c r="A30" s="506" t="n"/>
      <c r="B30" s="552" t="inlineStr">
        <is>
          <t>【家】重要古文単語315（1周目）</t>
        </is>
      </c>
      <c r="I30" s="555" t="inlineStr">
        <is>
          <t>【家】重要古文単語315（毎日復習）</t>
        </is>
      </c>
      <c r="L30" s="554" t="n"/>
      <c r="M30" s="555" t="inlineStr">
        <is>
          <t>【家】重要古文単語315（毎日復習・10周）</t>
        </is>
      </c>
      <c r="R30" s="554" t="n"/>
      <c r="S30" s="111" t="n"/>
      <c r="U30" s="203" t="n"/>
      <c r="V30" s="534" t="n"/>
      <c r="W30" s="535" t="n"/>
      <c r="X30" s="536" t="n"/>
      <c r="Y30" s="536" t="n"/>
      <c r="Z30" s="537" t="n"/>
    </row>
    <row r="31" ht="12" customHeight="1" s="466">
      <c r="A31" s="557" t="n"/>
      <c r="B31" s="558" t="inlineStr">
        <is>
          <t>☐</t>
        </is>
      </c>
      <c r="C31" s="558" t="inlineStr">
        <is>
          <t>☐</t>
        </is>
      </c>
      <c r="D31" s="559" t="inlineStr">
        <is>
          <t>☐</t>
        </is>
      </c>
      <c r="E31" s="559" t="inlineStr">
        <is>
          <t>☐</t>
        </is>
      </c>
      <c r="F31" s="559" t="inlineStr">
        <is>
          <t>☐</t>
        </is>
      </c>
      <c r="G31" s="559" t="inlineStr">
        <is>
          <t>☐</t>
        </is>
      </c>
      <c r="H31" s="559" t="inlineStr">
        <is>
          <t>☐</t>
        </is>
      </c>
      <c r="I31" s="559" t="inlineStr">
        <is>
          <t>☐</t>
        </is>
      </c>
      <c r="J31" s="560" t="inlineStr">
        <is>
          <t>☐</t>
        </is>
      </c>
      <c r="K31" s="558" t="inlineStr">
        <is>
          <t>☐</t>
        </is>
      </c>
      <c r="L31" s="560" t="inlineStr">
        <is>
          <t>☐</t>
        </is>
      </c>
      <c r="M31" s="558" t="inlineStr">
        <is>
          <t>☐</t>
        </is>
      </c>
      <c r="N31" s="559" t="inlineStr">
        <is>
          <t>☐</t>
        </is>
      </c>
      <c r="O31" s="559" t="inlineStr">
        <is>
          <t>☐</t>
        </is>
      </c>
      <c r="P31" s="560" t="inlineStr">
        <is>
          <t>☐</t>
        </is>
      </c>
      <c r="Q31" s="558" t="inlineStr">
        <is>
          <t>☐</t>
        </is>
      </c>
      <c r="R31" s="561" t="inlineStr">
        <is>
          <t>☐</t>
        </is>
      </c>
      <c r="S31" s="158">
        <f>IF(COUNTIF($B31:$R31,"?")=0,"","家 "&amp;COUNTIF($B31:$R31,"☑")&amp;"/"&amp;COUNTIF($B31:$R31,"?"))</f>
        <v/>
      </c>
      <c r="U31" s="204" t="n"/>
      <c r="V31" s="562" t="n"/>
      <c r="W31" s="563" t="n"/>
      <c r="X31" s="564" t="n"/>
      <c r="Y31" s="564" t="n"/>
      <c r="Z31" s="565" t="n"/>
    </row>
    <row r="32" ht="20.1" customHeight="1" s="466">
      <c r="A32" s="593" t="inlineStr">
        <is>
          <t>漢文</t>
        </is>
      </c>
      <c r="B32" s="530" t="n"/>
      <c r="C32" s="530" t="inlineStr">
        <is>
          <t>G3LK　難関大漢文</t>
        </is>
      </c>
      <c r="D32" s="531" t="n"/>
      <c r="E32" s="531" t="n"/>
      <c r="F32" s="531" t="n"/>
      <c r="G32" s="531" t="n"/>
      <c r="H32" s="531" t="n"/>
      <c r="I32" s="531" t="n"/>
      <c r="J32" s="532" t="n"/>
      <c r="K32" s="530" t="n"/>
      <c r="L32" s="530" t="n"/>
      <c r="M32" s="530" t="inlineStr">
        <is>
          <t>G3LK　難関大漢文</t>
        </is>
      </c>
      <c r="N32" s="531" t="n"/>
      <c r="O32" s="531" t="n"/>
      <c r="P32" s="532" t="n"/>
      <c r="Q32" s="533" t="n"/>
      <c r="R32" s="533" t="n"/>
      <c r="S32" s="94">
        <f>IF((COUNTIF($B33:$R33,"?*")-COUNTIF($B33:$R33,"※")+COUNTIF($B33:$R33,"*・*"))=0,"",(COUNTIF($B33:$R33,"☑*")+COUNTIF($B33:$R33,"☑*・*"))&amp;"/"&amp;(COUNTIF($B33:$R33,"?*")-COUNTIF($B33:$R33,"※")+COUNTIF($B33:$R33,"*・*"))&amp;"回"&amp;IF(SUMPRODUCT((LEFT($B33:$R33,1)&lt;&gt;"☑")*($B33:$R33&lt;&gt;"")*($B33:$R33&lt;&gt;"※")*(期間終了日&lt;基準日)*(1+ISNUMBER(FIND("・",$B33:$R33))))&gt;0,CHAR(10)&amp;"遅れ"&amp;SUMPRODUCT((LEFT($B33:$R33,1)&lt;&gt;"☑")*($B33:$R33&lt;&gt;"")*($B33:$R33&lt;&gt;"※")*(期間終了日&lt;基準日)*(1+ISNUMBER(FIND("・",$B33:$R33)))),""))</f>
        <v/>
      </c>
      <c r="U32" s="203" t="n"/>
      <c r="V32" s="534" t="inlineStr">
        <is>
          <t>G3LKQ　学研 共通テスト 漢文</t>
        </is>
      </c>
      <c r="W32" s="535" t="inlineStr">
        <is>
          <t>練成1</t>
        </is>
      </c>
      <c r="X32" s="536" t="n"/>
      <c r="Y32" s="536" t="inlineStr">
        <is>
          <t>実戦1</t>
        </is>
      </c>
      <c r="Z32" s="537" t="n"/>
    </row>
    <row r="33" ht="14.1" customHeight="1" s="466">
      <c r="A33" s="506" t="n"/>
      <c r="B33" s="594" t="n"/>
      <c r="C33" s="594" t="inlineStr">
        <is>
          <t>練成1</t>
        </is>
      </c>
      <c r="D33" s="594" t="inlineStr">
        <is>
          <t>※</t>
        </is>
      </c>
      <c r="E33" s="594" t="inlineStr">
        <is>
          <t>※</t>
        </is>
      </c>
      <c r="F33" s="594" t="inlineStr">
        <is>
          <t>※</t>
        </is>
      </c>
      <c r="G33" s="594" t="inlineStr">
        <is>
          <t>※</t>
        </is>
      </c>
      <c r="H33" s="594" t="inlineStr">
        <is>
          <t>※</t>
        </is>
      </c>
      <c r="I33" s="594" t="inlineStr">
        <is>
          <t>※</t>
        </is>
      </c>
      <c r="J33" s="595" t="inlineStr">
        <is>
          <t>※</t>
        </is>
      </c>
      <c r="K33" s="596" t="n"/>
      <c r="L33" s="595" t="n"/>
      <c r="M33" s="596" t="inlineStr">
        <is>
          <t>実戦1</t>
        </is>
      </c>
      <c r="N33" s="594" t="inlineStr">
        <is>
          <t>※</t>
        </is>
      </c>
      <c r="O33" s="594" t="inlineStr">
        <is>
          <t>※</t>
        </is>
      </c>
      <c r="P33" s="595" t="inlineStr">
        <is>
          <t>※</t>
        </is>
      </c>
      <c r="Q33" s="596" t="n"/>
      <c r="R33" s="597" t="n"/>
      <c r="S33" s="95">
        <f>IF((COUNTIF($B33:$R33,"?*")-COUNTIF($B33:$R33,"※")+COUNTIF($B33:$R33,"*・*"))=0,"",(COUNTIF($B33:$R33,"☑*")+COUNTIF($B33:$R33,"☑*・*"))/(COUNTIF($B33:$R33,"?*")-COUNTIF($B33:$R33,"※")+COUNTIF($B33:$R33,"*・*")))</f>
        <v/>
      </c>
      <c r="U33" s="203" t="n"/>
      <c r="V33" s="534" t="n"/>
      <c r="W33" s="535" t="n"/>
      <c r="X33" s="536" t="n"/>
      <c r="Y33" s="536" t="n"/>
      <c r="Z33" s="537" t="n"/>
    </row>
    <row r="34" ht="12.95" customHeight="1" s="466">
      <c r="A34" s="506" t="n"/>
      <c r="B34" s="542" t="inlineStr">
        <is>
          <t>【塾】漢文早覚え速答法</t>
        </is>
      </c>
      <c r="C34" s="543" t="n"/>
      <c r="D34" s="543" t="n"/>
      <c r="E34" s="543" t="n"/>
      <c r="F34" s="544" t="n"/>
      <c r="G34" s="547" t="n"/>
      <c r="H34" s="547" t="n"/>
      <c r="I34" s="547" t="n"/>
      <c r="J34" s="547" t="n"/>
      <c r="K34" s="547" t="n"/>
      <c r="L34" s="546" t="n"/>
      <c r="M34" s="546" t="inlineStr">
        <is>
          <t>【塾】共通テスト・志望校過去問（漢文）</t>
        </is>
      </c>
      <c r="N34" s="543" t="n"/>
      <c r="O34" s="543" t="n"/>
      <c r="P34" s="543" t="n"/>
      <c r="Q34" s="543" t="n"/>
      <c r="R34" s="545" t="n"/>
      <c r="S34" s="111" t="n"/>
      <c r="U34" s="203" t="n"/>
      <c r="V34" s="534" t="n"/>
      <c r="W34" s="535" t="n"/>
      <c r="X34" s="536" t="n"/>
      <c r="Y34" s="536" t="n"/>
      <c r="Z34" s="537" t="n"/>
    </row>
    <row r="35" ht="12" customHeight="1" s="466">
      <c r="A35" s="506" t="n"/>
      <c r="B35" s="598" t="inlineStr">
        <is>
          <t>☐</t>
        </is>
      </c>
      <c r="C35" s="598" t="inlineStr">
        <is>
          <t>☐</t>
        </is>
      </c>
      <c r="D35" s="599" t="inlineStr">
        <is>
          <t>☐</t>
        </is>
      </c>
      <c r="E35" s="599" t="inlineStr">
        <is>
          <t>☐</t>
        </is>
      </c>
      <c r="F35" s="599" t="n"/>
      <c r="G35" s="599" t="n"/>
      <c r="H35" s="599" t="n"/>
      <c r="I35" s="599" t="n"/>
      <c r="J35" s="600" t="n"/>
      <c r="K35" s="598" t="n"/>
      <c r="L35" s="600" t="n"/>
      <c r="M35" s="598" t="inlineStr">
        <is>
          <t>☐</t>
        </is>
      </c>
      <c r="N35" s="599" t="inlineStr">
        <is>
          <t>☐</t>
        </is>
      </c>
      <c r="O35" s="599" t="inlineStr">
        <is>
          <t>☐</t>
        </is>
      </c>
      <c r="P35" s="600" t="inlineStr">
        <is>
          <t>☐</t>
        </is>
      </c>
      <c r="Q35" s="598" t="inlineStr">
        <is>
          <t>☐</t>
        </is>
      </c>
      <c r="R35" s="601" t="inlineStr">
        <is>
          <t>☐</t>
        </is>
      </c>
      <c r="S35" s="158">
        <f>IF(COUNTIF($B35:$R35,"?")=0,"","塾 "&amp;COUNTIF($B35:$R35,"☑")&amp;"/"&amp;COUNTIF($B35:$R35,"?"))</f>
        <v/>
      </c>
      <c r="U35" s="203" t="n"/>
      <c r="V35" s="534" t="n"/>
      <c r="W35" s="535" t="n"/>
      <c r="X35" s="536" t="n"/>
      <c r="Y35" s="536" t="n"/>
      <c r="Z35" s="537" t="n"/>
    </row>
    <row r="36" ht="12.95" customHeight="1" s="466">
      <c r="A36" s="506" t="n"/>
      <c r="B36" s="552" t="n"/>
      <c r="C36" s="552" t="n"/>
      <c r="D36" s="556" t="n"/>
      <c r="E36" s="556" t="n"/>
      <c r="F36" s="553" t="inlineStr">
        <is>
          <t>【家】漢文早覚え速答法（句法の復習）</t>
        </is>
      </c>
      <c r="L36" s="554" t="n"/>
      <c r="M36" s="555" t="n"/>
      <c r="N36" s="556" t="n"/>
      <c r="O36" s="556" t="n"/>
      <c r="P36" s="555" t="n"/>
      <c r="Q36" s="556" t="n"/>
      <c r="R36" s="556" t="n"/>
      <c r="S36" s="111" t="n"/>
      <c r="U36" s="203" t="n"/>
      <c r="V36" s="534" t="n"/>
      <c r="W36" s="535" t="n"/>
      <c r="X36" s="536" t="n"/>
      <c r="Y36" s="536" t="n"/>
      <c r="Z36" s="537" t="n"/>
    </row>
    <row r="37" ht="12" customHeight="1" s="466">
      <c r="A37" s="557" t="n"/>
      <c r="B37" s="558" t="n"/>
      <c r="C37" s="558" t="n"/>
      <c r="D37" s="559" t="n"/>
      <c r="E37" s="559" t="n"/>
      <c r="F37" s="559" t="inlineStr">
        <is>
          <t>☐</t>
        </is>
      </c>
      <c r="G37" s="559" t="inlineStr">
        <is>
          <t>☐</t>
        </is>
      </c>
      <c r="H37" s="559" t="inlineStr">
        <is>
          <t>☐</t>
        </is>
      </c>
      <c r="I37" s="559" t="inlineStr">
        <is>
          <t>☐</t>
        </is>
      </c>
      <c r="J37" s="560" t="inlineStr">
        <is>
          <t>☐</t>
        </is>
      </c>
      <c r="K37" s="558" t="inlineStr">
        <is>
          <t>☐</t>
        </is>
      </c>
      <c r="L37" s="560" t="inlineStr">
        <is>
          <t>☐</t>
        </is>
      </c>
      <c r="M37" s="558" t="n"/>
      <c r="N37" s="559" t="n"/>
      <c r="O37" s="559" t="n"/>
      <c r="P37" s="560" t="n"/>
      <c r="Q37" s="558" t="n"/>
      <c r="R37" s="561" t="n"/>
      <c r="S37" s="158">
        <f>IF(COUNTIF($B37:$R37,"?")=0,"","家 "&amp;COUNTIF($B37:$R37,"☑")&amp;"/"&amp;COUNTIF($B37:$R37,"?"))</f>
        <v/>
      </c>
      <c r="U37" s="204" t="n"/>
      <c r="V37" s="562" t="n"/>
      <c r="W37" s="563" t="n"/>
      <c r="X37" s="564" t="n"/>
      <c r="Y37" s="564" t="n"/>
      <c r="Z37" s="565" t="n"/>
    </row>
    <row r="38" ht="20.1" customHeight="1" s="466">
      <c r="A38" s="602" t="inlineStr">
        <is>
          <t>日本史</t>
        </is>
      </c>
      <c r="B38" s="530" t="n"/>
      <c r="C38" s="530" t="inlineStr">
        <is>
          <t>G3J　難関大日本史</t>
        </is>
      </c>
      <c r="D38" s="531" t="n"/>
      <c r="E38" s="531" t="n"/>
      <c r="F38" s="531" t="n"/>
      <c r="G38" s="531" t="n"/>
      <c r="H38" s="531" t="n"/>
      <c r="I38" s="531" t="n"/>
      <c r="J38" s="532" t="n"/>
      <c r="K38" s="530" t="inlineStr">
        <is>
          <t>NG3J</t>
        </is>
      </c>
      <c r="L38" s="532" t="n"/>
      <c r="M38" s="530" t="inlineStr">
        <is>
          <t>G3J　難関大日本史</t>
        </is>
      </c>
      <c r="N38" s="531" t="n"/>
      <c r="O38" s="531" t="n"/>
      <c r="P38" s="532" t="n"/>
      <c r="Q38" s="533" t="inlineStr">
        <is>
          <t>FG3J</t>
        </is>
      </c>
      <c r="R38" s="531" t="n"/>
      <c r="S38" s="94">
        <f>IF((COUNTIF($B39:$R39,"?*")-COUNTIF($B39:$R39,"※")+COUNTIF($B39:$R39,"*・*"))=0,"",(COUNTIF($B39:$R39,"☑*")+COUNTIF($B39:$R39,"☑*・*"))&amp;"/"&amp;(COUNTIF($B39:$R39,"?*")-COUNTIF($B39:$R39,"※")+COUNTIF($B39:$R39,"*・*"))&amp;"回"&amp;IF(SUMPRODUCT((LEFT($B39:$R39,1)&lt;&gt;"☑")*($B39:$R39&lt;&gt;"")*($B39:$R39&lt;&gt;"※")*(期間終了日&lt;基準日)*(1+ISNUMBER(FIND("・",$B39:$R39))))&gt;0,CHAR(10)&amp;"遅れ"&amp;SUMPRODUCT((LEFT($B39:$R39,1)&lt;&gt;"☑")*($B39:$R39&lt;&gt;"")*($B39:$R39&lt;&gt;"※")*(期間終了日&lt;基準日)*(1+ISNUMBER(FIND("・",$B39:$R39)))),""))</f>
        <v/>
      </c>
      <c r="U38" s="203" t="n"/>
      <c r="V38" s="534" t="inlineStr">
        <is>
          <t>G3JQ　学研 共通テスト 日本史</t>
        </is>
      </c>
      <c r="W38" s="535" t="n"/>
      <c r="X38" s="536" t="n"/>
      <c r="Y38" s="536" t="inlineStr">
        <is>
          <t>実戦1</t>
        </is>
      </c>
      <c r="Z38" s="537" t="inlineStr">
        <is>
          <t>実戦2</t>
        </is>
      </c>
    </row>
    <row r="39" ht="14.1" customHeight="1" s="466">
      <c r="A39" s="506" t="n"/>
      <c r="B39" s="603" t="n"/>
      <c r="C39" s="603" t="inlineStr">
        <is>
          <t>練成1</t>
        </is>
      </c>
      <c r="D39" s="603" t="inlineStr">
        <is>
          <t>練成2</t>
        </is>
      </c>
      <c r="E39" s="603" t="inlineStr">
        <is>
          <t>練成3</t>
        </is>
      </c>
      <c r="F39" s="603" t="inlineStr">
        <is>
          <t>練成4</t>
        </is>
      </c>
      <c r="G39" s="603" t="inlineStr">
        <is>
          <t>練成5</t>
        </is>
      </c>
      <c r="H39" s="603" t="inlineStr">
        <is>
          <t>練成6</t>
        </is>
      </c>
      <c r="I39" s="603" t="inlineStr">
        <is>
          <t>練成7</t>
        </is>
      </c>
      <c r="J39" s="604" t="inlineStr">
        <is>
          <t>練成8</t>
        </is>
      </c>
      <c r="K39" s="605" t="inlineStr">
        <is>
          <t>夏期1</t>
        </is>
      </c>
      <c r="L39" s="604" t="inlineStr">
        <is>
          <t>夏期2</t>
        </is>
      </c>
      <c r="M39" s="605" t="inlineStr">
        <is>
          <t>実戦1</t>
        </is>
      </c>
      <c r="N39" s="603" t="inlineStr">
        <is>
          <t>実戦2</t>
        </is>
      </c>
      <c r="O39" s="603" t="inlineStr">
        <is>
          <t>実戦3</t>
        </is>
      </c>
      <c r="P39" s="604" t="inlineStr">
        <is>
          <t>実戦4</t>
        </is>
      </c>
      <c r="Q39" s="605" t="inlineStr">
        <is>
          <t>直前1</t>
        </is>
      </c>
      <c r="R39" s="606" t="inlineStr">
        <is>
          <t>※</t>
        </is>
      </c>
      <c r="S39" s="95">
        <f>IF((COUNTIF($B39:$R39,"?*")-COUNTIF($B39:$R39,"※")+COUNTIF($B39:$R39,"*・*"))=0,"",(COUNTIF($B39:$R39,"☑*")+COUNTIF($B39:$R39,"☑*・*"))/(COUNTIF($B39:$R39,"?*")-COUNTIF($B39:$R39,"※")+COUNTIF($B39:$R39,"*・*")))</f>
        <v/>
      </c>
      <c r="U39" s="203" t="n"/>
      <c r="V39" s="534" t="n"/>
      <c r="W39" s="535" t="n"/>
      <c r="X39" s="536" t="n"/>
      <c r="Y39" s="536" t="n"/>
      <c r="Z39" s="537" t="n"/>
    </row>
    <row r="40" ht="12.95" customHeight="1" s="466">
      <c r="A40" s="506" t="n"/>
      <c r="B40" s="544" t="inlineStr">
        <is>
          <t>（塾の授業教材は英語・数学・国語のみ）</t>
        </is>
      </c>
      <c r="C40" s="543" t="n"/>
      <c r="D40" s="543" t="n"/>
      <c r="E40" s="543" t="n"/>
      <c r="F40" s="543" t="n"/>
      <c r="G40" s="543" t="n"/>
      <c r="H40" s="543" t="n"/>
      <c r="I40" s="543" t="n"/>
      <c r="J40" s="543" t="n"/>
      <c r="K40" s="543" t="n"/>
      <c r="L40" s="545" t="n"/>
      <c r="M40" s="546" t="inlineStr">
        <is>
          <t>（塾の授業教材は英語・数学・国語のみ）</t>
        </is>
      </c>
      <c r="N40" s="543" t="n"/>
      <c r="O40" s="543" t="n"/>
      <c r="P40" s="543" t="n"/>
      <c r="Q40" s="543" t="n"/>
      <c r="R40" s="545" t="n"/>
      <c r="S40" s="111" t="n"/>
      <c r="U40" s="203" t="n"/>
      <c r="V40" s="534" t="n"/>
      <c r="W40" s="535" t="n"/>
      <c r="X40" s="536" t="n"/>
      <c r="Y40" s="536" t="n"/>
      <c r="Z40" s="537" t="n"/>
    </row>
    <row r="41" ht="12" customHeight="1" s="466">
      <c r="A41" s="506" t="n"/>
      <c r="B41" s="607" t="n"/>
      <c r="C41" s="607" t="n"/>
      <c r="D41" s="608" t="n"/>
      <c r="E41" s="608" t="n"/>
      <c r="F41" s="608" t="n"/>
      <c r="G41" s="608" t="n"/>
      <c r="H41" s="608" t="n"/>
      <c r="I41" s="608" t="n"/>
      <c r="J41" s="609" t="n"/>
      <c r="K41" s="607" t="n"/>
      <c r="L41" s="609" t="n"/>
      <c r="M41" s="607" t="n"/>
      <c r="N41" s="608" t="n"/>
      <c r="O41" s="608" t="n"/>
      <c r="P41" s="609" t="n"/>
      <c r="Q41" s="607" t="n"/>
      <c r="R41" s="610" t="n"/>
      <c r="S41" s="158">
        <f>IF(COUNTIF($B41:$R41,"?")=0,"","塾 "&amp;COUNTIF($B41:$R41,"☑")&amp;"/"&amp;COUNTIF($B41:$R41,"?"))</f>
        <v/>
      </c>
      <c r="U41" s="203" t="n"/>
      <c r="V41" s="534" t="n"/>
      <c r="W41" s="535" t="n"/>
      <c r="X41" s="536" t="n"/>
      <c r="Y41" s="536" t="n"/>
      <c r="Z41" s="537" t="n"/>
    </row>
    <row r="42" ht="12.95" customHeight="1" s="466">
      <c r="A42" s="506" t="n"/>
      <c r="B42" s="553" t="inlineStr">
        <is>
          <t>【家】日本史一問一答【完全版】（授業の復習・5周）</t>
        </is>
      </c>
      <c r="L42" s="554" t="n"/>
      <c r="M42" s="555" t="inlineStr">
        <is>
          <t>【家】日本史一問一答【完全版】＋共通テスト過去問</t>
        </is>
      </c>
      <c r="P42" s="554" t="n"/>
      <c r="Q42" s="556" t="inlineStr">
        <is>
          <t>【家】一橋大学過去問</t>
        </is>
      </c>
      <c r="S42" s="111" t="n"/>
      <c r="U42" s="203" t="n"/>
      <c r="V42" s="534" t="n"/>
      <c r="W42" s="535" t="n"/>
      <c r="X42" s="536" t="n"/>
      <c r="Y42" s="536" t="n"/>
      <c r="Z42" s="537" t="n"/>
    </row>
    <row r="43" ht="12" customHeight="1" s="466">
      <c r="A43" s="557" t="n"/>
      <c r="B43" s="558" t="inlineStr">
        <is>
          <t>☐</t>
        </is>
      </c>
      <c r="C43" s="558" t="inlineStr">
        <is>
          <t>☐</t>
        </is>
      </c>
      <c r="D43" s="559" t="inlineStr">
        <is>
          <t>☐</t>
        </is>
      </c>
      <c r="E43" s="559" t="inlineStr">
        <is>
          <t>☐</t>
        </is>
      </c>
      <c r="F43" s="559" t="inlineStr">
        <is>
          <t>☐</t>
        </is>
      </c>
      <c r="G43" s="559" t="inlineStr">
        <is>
          <t>☐</t>
        </is>
      </c>
      <c r="H43" s="559" t="inlineStr">
        <is>
          <t>☐</t>
        </is>
      </c>
      <c r="I43" s="559" t="inlineStr">
        <is>
          <t>☐</t>
        </is>
      </c>
      <c r="J43" s="560" t="inlineStr">
        <is>
          <t>☐</t>
        </is>
      </c>
      <c r="K43" s="558" t="inlineStr">
        <is>
          <t>☐</t>
        </is>
      </c>
      <c r="L43" s="560" t="inlineStr">
        <is>
          <t>☐</t>
        </is>
      </c>
      <c r="M43" s="558" t="inlineStr">
        <is>
          <t>☐</t>
        </is>
      </c>
      <c r="N43" s="559" t="inlineStr">
        <is>
          <t>☐</t>
        </is>
      </c>
      <c r="O43" s="559" t="inlineStr">
        <is>
          <t>☐</t>
        </is>
      </c>
      <c r="P43" s="560" t="inlineStr">
        <is>
          <t>☐</t>
        </is>
      </c>
      <c r="Q43" s="558" t="inlineStr">
        <is>
          <t>☐</t>
        </is>
      </c>
      <c r="R43" s="561" t="inlineStr">
        <is>
          <t>☐</t>
        </is>
      </c>
      <c r="S43" s="158">
        <f>IF(COUNTIF($B43:$R43,"?")=0,"","家 "&amp;COUNTIF($B43:$R43,"☑")&amp;"/"&amp;COUNTIF($B43:$R43,"?"))</f>
        <v/>
      </c>
      <c r="U43" s="204" t="n"/>
      <c r="V43" s="562" t="n"/>
      <c r="W43" s="563" t="n"/>
      <c r="X43" s="564" t="n"/>
      <c r="Y43" s="564" t="n"/>
      <c r="Z43" s="565" t="n"/>
    </row>
    <row r="44" hidden="1" ht="20.1" customHeight="1" s="466">
      <c r="A44" s="611" t="inlineStr">
        <is>
          <t>世界史</t>
        </is>
      </c>
      <c r="B44" s="530" t="n"/>
      <c r="C44" s="530" t="n"/>
      <c r="D44" s="533" t="n"/>
      <c r="E44" s="533" t="n"/>
      <c r="F44" s="533" t="n"/>
      <c r="G44" s="533" t="n"/>
      <c r="H44" s="533" t="n"/>
      <c r="I44" s="533" t="n"/>
      <c r="J44" s="530" t="n"/>
      <c r="K44" s="530" t="n"/>
      <c r="L44" s="530" t="n"/>
      <c r="M44" s="530" t="n"/>
      <c r="N44" s="533" t="n"/>
      <c r="O44" s="533" t="n"/>
      <c r="P44" s="530" t="n"/>
      <c r="Q44" s="533" t="n"/>
      <c r="R44" s="533" t="n"/>
      <c r="S44" s="94">
        <f>IF((COUNTIF($B45:$R45,"?*")-COUNTIF($B45:$R45,"※")+COUNTIF($B45:$R45,"*・*"))=0,"",(COUNTIF($B45:$R45,"☑*")+COUNTIF($B45:$R45,"☑*・*"))&amp;"/"&amp;(COUNTIF($B45:$R45,"?*")-COUNTIF($B45:$R45,"※")+COUNTIF($B45:$R45,"*・*"))&amp;"回"&amp;IF(SUMPRODUCT((LEFT($B45:$R45,1)&lt;&gt;"☑")*($B45:$R45&lt;&gt;"")*($B45:$R45&lt;&gt;"※")*(期間終了日&lt;基準日)*(1+ISNUMBER(FIND("・",$B45:$R45))))&gt;0,CHAR(10)&amp;"遅れ"&amp;SUMPRODUCT((LEFT($B45:$R45,1)&lt;&gt;"☑")*($B45:$R45&lt;&gt;"")*($B45:$R45&lt;&gt;"※")*(期間終了日&lt;基準日)*(1+ISNUMBER(FIND("・",$B45:$R45)))),""))</f>
        <v/>
      </c>
      <c r="U44" s="203" t="n"/>
      <c r="V44" s="534" t="n"/>
      <c r="W44" s="535" t="n"/>
      <c r="X44" s="536" t="n"/>
      <c r="Y44" s="536" t="n"/>
      <c r="Z44" s="537" t="n"/>
    </row>
    <row r="45" hidden="1" ht="14.1" customHeight="1" s="466">
      <c r="A45" s="506" t="n"/>
      <c r="B45" s="612" t="n"/>
      <c r="C45" s="612" t="n"/>
      <c r="D45" s="612" t="n"/>
      <c r="E45" s="612" t="n"/>
      <c r="F45" s="612" t="n"/>
      <c r="G45" s="612" t="n"/>
      <c r="H45" s="612" t="n"/>
      <c r="I45" s="612" t="n"/>
      <c r="J45" s="613" t="n"/>
      <c r="K45" s="614" t="n"/>
      <c r="L45" s="613" t="n"/>
      <c r="M45" s="614" t="n"/>
      <c r="N45" s="612" t="n"/>
      <c r="O45" s="612" t="n"/>
      <c r="P45" s="613" t="n"/>
      <c r="Q45" s="614" t="n"/>
      <c r="R45" s="615" t="n"/>
      <c r="S45" s="95">
        <f>IF((COUNTIF($B45:$R45,"?*")-COUNTIF($B45:$R45,"※")+COUNTIF($B45:$R45,"*・*"))=0,"",(COUNTIF($B45:$R45,"☑*")+COUNTIF($B45:$R45,"☑*・*"))/(COUNTIF($B45:$R45,"?*")-COUNTIF($B45:$R45,"※")+COUNTIF($B45:$R45,"*・*")))</f>
        <v/>
      </c>
      <c r="U45" s="203" t="n"/>
      <c r="V45" s="534" t="n"/>
      <c r="W45" s="535" t="n"/>
      <c r="X45" s="536" t="n"/>
      <c r="Y45" s="536" t="n"/>
      <c r="Z45" s="537" t="n"/>
    </row>
    <row r="46" hidden="1" ht="12.95" customHeight="1" s="466">
      <c r="A46" s="506" t="n"/>
      <c r="B46" s="542" t="n"/>
      <c r="C46" s="542" t="n"/>
      <c r="D46" s="547" t="n"/>
      <c r="E46" s="547" t="n"/>
      <c r="F46" s="544" t="n"/>
      <c r="G46" s="547" t="n"/>
      <c r="H46" s="547" t="n"/>
      <c r="I46" s="547" t="n"/>
      <c r="J46" s="547" t="n"/>
      <c r="K46" s="547" t="n"/>
      <c r="L46" s="546" t="n"/>
      <c r="M46" s="546" t="n"/>
      <c r="N46" s="547" t="n"/>
      <c r="O46" s="547" t="n"/>
      <c r="P46" s="546" t="n"/>
      <c r="Q46" s="547" t="n"/>
      <c r="R46" s="547" t="n"/>
      <c r="S46" s="111" t="n"/>
      <c r="U46" s="203" t="n"/>
      <c r="V46" s="534" t="n"/>
      <c r="W46" s="535" t="n"/>
      <c r="X46" s="536" t="n"/>
      <c r="Y46" s="536" t="n"/>
      <c r="Z46" s="537" t="n"/>
    </row>
    <row r="47" hidden="1" ht="12" customHeight="1" s="466">
      <c r="A47" s="506" t="n"/>
      <c r="B47" s="616" t="n"/>
      <c r="C47" s="616" t="n"/>
      <c r="D47" s="617" t="n"/>
      <c r="E47" s="617" t="n"/>
      <c r="F47" s="617" t="n"/>
      <c r="G47" s="617" t="n"/>
      <c r="H47" s="617" t="n"/>
      <c r="I47" s="617" t="n"/>
      <c r="J47" s="618" t="n"/>
      <c r="K47" s="616" t="n"/>
      <c r="L47" s="618" t="n"/>
      <c r="M47" s="616" t="n"/>
      <c r="N47" s="617" t="n"/>
      <c r="O47" s="617" t="n"/>
      <c r="P47" s="618" t="n"/>
      <c r="Q47" s="616" t="n"/>
      <c r="R47" s="619" t="n"/>
      <c r="S47" s="158">
        <f>IF(COUNTIF($B47:$R47,"?")=0,"","塾 "&amp;COUNTIF($B47:$R47,"☑")&amp;"/"&amp;COUNTIF($B47:$R47,"?"))</f>
        <v/>
      </c>
      <c r="U47" s="203" t="n"/>
      <c r="V47" s="534" t="n"/>
      <c r="W47" s="535" t="n"/>
      <c r="X47" s="536" t="n"/>
      <c r="Y47" s="536" t="n"/>
      <c r="Z47" s="537" t="n"/>
    </row>
    <row r="48" hidden="1" ht="12.95" customHeight="1" s="466">
      <c r="A48" s="506" t="n"/>
      <c r="B48" s="552" t="n"/>
      <c r="C48" s="552" t="n"/>
      <c r="D48" s="556" t="n"/>
      <c r="E48" s="556" t="n"/>
      <c r="F48" s="553" t="n"/>
      <c r="G48" s="556" t="n"/>
      <c r="H48" s="556" t="n"/>
      <c r="I48" s="556" t="n"/>
      <c r="J48" s="556" t="n"/>
      <c r="K48" s="556" t="n"/>
      <c r="L48" s="555" t="n"/>
      <c r="M48" s="555" t="n"/>
      <c r="N48" s="556" t="n"/>
      <c r="O48" s="556" t="n"/>
      <c r="P48" s="555" t="n"/>
      <c r="Q48" s="556" t="n"/>
      <c r="R48" s="556" t="n"/>
      <c r="S48" s="111" t="n"/>
      <c r="U48" s="203" t="n"/>
      <c r="V48" s="534" t="n"/>
      <c r="W48" s="535" t="n"/>
      <c r="X48" s="536" t="n"/>
      <c r="Y48" s="536" t="n"/>
      <c r="Z48" s="537" t="n"/>
    </row>
    <row r="49" hidden="1" ht="12" customHeight="1" s="466">
      <c r="A49" s="557" t="n"/>
      <c r="B49" s="558" t="n"/>
      <c r="C49" s="558" t="n"/>
      <c r="D49" s="559" t="n"/>
      <c r="E49" s="559" t="n"/>
      <c r="F49" s="559" t="n"/>
      <c r="G49" s="559" t="n"/>
      <c r="H49" s="559" t="n"/>
      <c r="I49" s="559" t="n"/>
      <c r="J49" s="560" t="n"/>
      <c r="K49" s="558" t="n"/>
      <c r="L49" s="560" t="n"/>
      <c r="M49" s="558" t="n"/>
      <c r="N49" s="559" t="n"/>
      <c r="O49" s="559" t="n"/>
      <c r="P49" s="560" t="n"/>
      <c r="Q49" s="558" t="n"/>
      <c r="R49" s="561" t="n"/>
      <c r="S49" s="158">
        <f>IF(COUNTIF($B49:$R49,"?")=0,"","家 "&amp;COUNTIF($B49:$R49,"☑")&amp;"/"&amp;COUNTIF($B49:$R49,"?"))</f>
        <v/>
      </c>
      <c r="U49" s="204" t="n"/>
      <c r="V49" s="562" t="n"/>
      <c r="W49" s="563" t="n"/>
      <c r="X49" s="564" t="n"/>
      <c r="Y49" s="564" t="n"/>
      <c r="Z49" s="565" t="n"/>
    </row>
    <row r="50" hidden="1" ht="20.1" customHeight="1" s="466">
      <c r="A50" s="620" t="inlineStr">
        <is>
          <t>地理</t>
        </is>
      </c>
      <c r="B50" s="530" t="n"/>
      <c r="C50" s="530" t="n"/>
      <c r="D50" s="533" t="n"/>
      <c r="E50" s="533" t="n"/>
      <c r="F50" s="533" t="n"/>
      <c r="G50" s="533" t="n"/>
      <c r="H50" s="533" t="n"/>
      <c r="I50" s="533" t="n"/>
      <c r="J50" s="530" t="n"/>
      <c r="K50" s="530" t="n"/>
      <c r="L50" s="530" t="n"/>
      <c r="M50" s="530" t="n"/>
      <c r="N50" s="533" t="n"/>
      <c r="O50" s="533" t="n"/>
      <c r="P50" s="530" t="n"/>
      <c r="Q50" s="533" t="n"/>
      <c r="R50" s="533" t="n"/>
      <c r="S50" s="94">
        <f>IF((COUNTIF($B51:$R51,"?*")-COUNTIF($B51:$R51,"※")+COUNTIF($B51:$R51,"*・*"))=0,"",(COUNTIF($B51:$R51,"☑*")+COUNTIF($B51:$R51,"☑*・*"))&amp;"/"&amp;(COUNTIF($B51:$R51,"?*")-COUNTIF($B51:$R51,"※")+COUNTIF($B51:$R51,"*・*"))&amp;"回"&amp;IF(SUMPRODUCT((LEFT($B51:$R51,1)&lt;&gt;"☑")*($B51:$R51&lt;&gt;"")*($B51:$R51&lt;&gt;"※")*(期間終了日&lt;基準日)*(1+ISNUMBER(FIND("・",$B51:$R51))))&gt;0,CHAR(10)&amp;"遅れ"&amp;SUMPRODUCT((LEFT($B51:$R51,1)&lt;&gt;"☑")*($B51:$R51&lt;&gt;"")*($B51:$R51&lt;&gt;"※")*(期間終了日&lt;基準日)*(1+ISNUMBER(FIND("・",$B51:$R51)))),""))</f>
        <v/>
      </c>
      <c r="U50" s="203" t="n"/>
      <c r="V50" s="534" t="n"/>
      <c r="W50" s="535" t="n"/>
      <c r="X50" s="536" t="n"/>
      <c r="Y50" s="536" t="n"/>
      <c r="Z50" s="537" t="n"/>
    </row>
    <row r="51" hidden="1" ht="14.1" customHeight="1" s="466">
      <c r="A51" s="621" t="n"/>
      <c r="B51" s="622" t="n"/>
      <c r="C51" s="622" t="n"/>
      <c r="D51" s="622" t="n"/>
      <c r="E51" s="622" t="n"/>
      <c r="F51" s="622" t="n"/>
      <c r="G51" s="622" t="n"/>
      <c r="H51" s="622" t="n"/>
      <c r="I51" s="622" t="n"/>
      <c r="J51" s="623" t="n"/>
      <c r="K51" s="624" t="n"/>
      <c r="L51" s="623" t="n"/>
      <c r="M51" s="624" t="n"/>
      <c r="N51" s="622" t="n"/>
      <c r="O51" s="622" t="n"/>
      <c r="P51" s="623" t="n"/>
      <c r="Q51" s="624" t="n"/>
      <c r="R51" s="625" t="n"/>
      <c r="S51" s="95">
        <f>IF((COUNTIF($B51:$R51,"?*")-COUNTIF($B51:$R51,"※")+COUNTIF($B51:$R51,"*・*"))=0,"",(COUNTIF($B51:$R51,"☑*")+COUNTIF($B51:$R51,"☑*・*"))/(COUNTIF($B51:$R51,"?*")-COUNTIF($B51:$R51,"※")+COUNTIF($B51:$R51,"*・*")))</f>
        <v/>
      </c>
      <c r="U51" s="203" t="n"/>
      <c r="V51" s="534" t="n"/>
      <c r="W51" s="535" t="n"/>
      <c r="X51" s="536" t="n"/>
      <c r="Y51" s="536" t="n"/>
      <c r="Z51" s="537" t="n"/>
    </row>
    <row r="52" hidden="1" ht="12.95" customHeight="1" s="466">
      <c r="A52" s="621" t="n"/>
      <c r="B52" s="542" t="n"/>
      <c r="C52" s="542" t="n"/>
      <c r="D52" s="547" t="n"/>
      <c r="E52" s="547" t="n"/>
      <c r="F52" s="544" t="n"/>
      <c r="G52" s="547" t="n"/>
      <c r="H52" s="547" t="n"/>
      <c r="I52" s="547" t="n"/>
      <c r="J52" s="547" t="n"/>
      <c r="K52" s="547" t="n"/>
      <c r="L52" s="546" t="n"/>
      <c r="M52" s="546" t="n"/>
      <c r="N52" s="547" t="n"/>
      <c r="O52" s="547" t="n"/>
      <c r="P52" s="546" t="n"/>
      <c r="Q52" s="547" t="n"/>
      <c r="R52" s="547" t="n"/>
      <c r="S52" s="111" t="n"/>
      <c r="U52" s="203" t="n"/>
      <c r="V52" s="534" t="n"/>
      <c r="W52" s="535" t="n"/>
      <c r="X52" s="536" t="n"/>
      <c r="Y52" s="536" t="n"/>
      <c r="Z52" s="537" t="n"/>
    </row>
    <row r="53" hidden="1" ht="12" customHeight="1" s="466">
      <c r="A53" s="621" t="n"/>
      <c r="B53" s="626" t="n"/>
      <c r="C53" s="626" t="n"/>
      <c r="D53" s="627" t="n"/>
      <c r="E53" s="627" t="n"/>
      <c r="F53" s="627" t="n"/>
      <c r="G53" s="627" t="n"/>
      <c r="H53" s="627" t="n"/>
      <c r="I53" s="627" t="n"/>
      <c r="J53" s="628" t="n"/>
      <c r="K53" s="626" t="n"/>
      <c r="L53" s="628" t="n"/>
      <c r="M53" s="626" t="n"/>
      <c r="N53" s="627" t="n"/>
      <c r="O53" s="627" t="n"/>
      <c r="P53" s="628" t="n"/>
      <c r="Q53" s="626" t="n"/>
      <c r="R53" s="629" t="n"/>
      <c r="S53" s="158">
        <f>IF(COUNTIF($B53:$R53,"?")=0,"","塾 "&amp;COUNTIF($B53:$R53,"☑")&amp;"/"&amp;COUNTIF($B53:$R53,"?"))</f>
        <v/>
      </c>
      <c r="U53" s="203" t="n"/>
      <c r="V53" s="534" t="n"/>
      <c r="W53" s="535" t="n"/>
      <c r="X53" s="536" t="n"/>
      <c r="Y53" s="536" t="n"/>
      <c r="Z53" s="537" t="n"/>
    </row>
    <row r="54" hidden="1" ht="12.95" customHeight="1" s="466">
      <c r="A54" s="621" t="n"/>
      <c r="B54" s="552" t="n"/>
      <c r="C54" s="552" t="n"/>
      <c r="D54" s="556" t="n"/>
      <c r="E54" s="556" t="n"/>
      <c r="F54" s="553" t="n"/>
      <c r="G54" s="556" t="n"/>
      <c r="H54" s="556" t="n"/>
      <c r="I54" s="556" t="n"/>
      <c r="J54" s="556" t="n"/>
      <c r="K54" s="556" t="n"/>
      <c r="L54" s="555" t="n"/>
      <c r="M54" s="555" t="n"/>
      <c r="N54" s="556" t="n"/>
      <c r="O54" s="556" t="n"/>
      <c r="P54" s="555" t="n"/>
      <c r="Q54" s="556" t="n"/>
      <c r="R54" s="556" t="n"/>
      <c r="S54" s="111" t="n"/>
      <c r="U54" s="203" t="n"/>
      <c r="V54" s="534" t="n"/>
      <c r="W54" s="535" t="n"/>
      <c r="X54" s="536" t="n"/>
      <c r="Y54" s="536" t="n"/>
      <c r="Z54" s="537" t="n"/>
    </row>
    <row r="55" hidden="1" ht="12" customHeight="1" s="466">
      <c r="A55" s="630" t="n"/>
      <c r="B55" s="558" t="n"/>
      <c r="C55" s="558" t="n"/>
      <c r="D55" s="559" t="n"/>
      <c r="E55" s="559" t="n"/>
      <c r="F55" s="559" t="n"/>
      <c r="G55" s="559" t="n"/>
      <c r="H55" s="559" t="n"/>
      <c r="I55" s="559" t="n"/>
      <c r="J55" s="560" t="n"/>
      <c r="K55" s="558" t="n"/>
      <c r="L55" s="560" t="n"/>
      <c r="M55" s="558" t="n"/>
      <c r="N55" s="559" t="n"/>
      <c r="O55" s="559" t="n"/>
      <c r="P55" s="560" t="n"/>
      <c r="Q55" s="558" t="n"/>
      <c r="R55" s="561" t="n"/>
      <c r="S55" s="158">
        <f>IF(COUNTIF($B55:$R55,"?")=0,"","家 "&amp;COUNTIF($B55:$R55,"☑")&amp;"/"&amp;COUNTIF($B55:$R55,"?"))</f>
        <v/>
      </c>
      <c r="U55" s="204" t="n"/>
      <c r="V55" s="562" t="n"/>
      <c r="W55" s="563" t="n"/>
      <c r="X55" s="564" t="n"/>
      <c r="Y55" s="564" t="n"/>
      <c r="Z55" s="565" t="n"/>
    </row>
    <row r="56" hidden="1" ht="20.1" customHeight="1" s="466">
      <c r="A56" s="631" t="inlineStr">
        <is>
          <t>物理</t>
        </is>
      </c>
      <c r="B56" s="530" t="n"/>
      <c r="C56" s="530" t="n"/>
      <c r="D56" s="533" t="n"/>
      <c r="E56" s="533" t="n"/>
      <c r="F56" s="533" t="n"/>
      <c r="G56" s="533" t="n"/>
      <c r="H56" s="533" t="n"/>
      <c r="I56" s="533" t="n"/>
      <c r="J56" s="530" t="n"/>
      <c r="K56" s="530" t="n"/>
      <c r="L56" s="530" t="n"/>
      <c r="M56" s="530" t="n"/>
      <c r="N56" s="533" t="n"/>
      <c r="O56" s="533" t="n"/>
      <c r="P56" s="530" t="n"/>
      <c r="Q56" s="533" t="n"/>
      <c r="R56" s="533" t="n"/>
      <c r="S56" s="94">
        <f>IF((COUNTIF($B57:$R57,"?*")-COUNTIF($B57:$R57,"※")+COUNTIF($B57:$R57,"*・*"))=0,"",(COUNTIF($B57:$R57,"☑*")+COUNTIF($B57:$R57,"☑*・*"))&amp;"/"&amp;(COUNTIF($B57:$R57,"?*")-COUNTIF($B57:$R57,"※")+COUNTIF($B57:$R57,"*・*"))&amp;"回"&amp;IF(SUMPRODUCT((LEFT($B57:$R57,1)&lt;&gt;"☑")*($B57:$R57&lt;&gt;"")*($B57:$R57&lt;&gt;"※")*(期間終了日&lt;基準日)*(1+ISNUMBER(FIND("・",$B57:$R57))))&gt;0,CHAR(10)&amp;"遅れ"&amp;SUMPRODUCT((LEFT($B57:$R57,1)&lt;&gt;"☑")*($B57:$R57&lt;&gt;"")*($B57:$R57&lt;&gt;"※")*(期間終了日&lt;基準日)*(1+ISNUMBER(FIND("・",$B57:$R57)))),""))</f>
        <v/>
      </c>
      <c r="U56" s="203" t="n"/>
      <c r="V56" s="534" t="n"/>
      <c r="W56" s="535" t="n"/>
      <c r="X56" s="536" t="n"/>
      <c r="Y56" s="536" t="n"/>
      <c r="Z56" s="537" t="n"/>
    </row>
    <row r="57" hidden="1" ht="14.1" customHeight="1" s="466">
      <c r="A57" s="621" t="n"/>
      <c r="B57" s="632" t="n"/>
      <c r="C57" s="632" t="n"/>
      <c r="D57" s="632" t="n"/>
      <c r="E57" s="632" t="n"/>
      <c r="F57" s="632" t="n"/>
      <c r="G57" s="632" t="n"/>
      <c r="H57" s="632" t="n"/>
      <c r="I57" s="632" t="n"/>
      <c r="J57" s="633" t="n"/>
      <c r="K57" s="634" t="n"/>
      <c r="L57" s="633" t="n"/>
      <c r="M57" s="634" t="n"/>
      <c r="N57" s="632" t="n"/>
      <c r="O57" s="632" t="n"/>
      <c r="P57" s="633" t="n"/>
      <c r="Q57" s="634" t="n"/>
      <c r="R57" s="635" t="n"/>
      <c r="S57" s="95">
        <f>IF((COUNTIF($B57:$R57,"?*")-COUNTIF($B57:$R57,"※")+COUNTIF($B57:$R57,"*・*"))=0,"",(COUNTIF($B57:$R57,"☑*")+COUNTIF($B57:$R57,"☑*・*"))/(COUNTIF($B57:$R57,"?*")-COUNTIF($B57:$R57,"※")+COUNTIF($B57:$R57,"*・*")))</f>
        <v/>
      </c>
      <c r="U57" s="203" t="n"/>
      <c r="V57" s="534" t="n"/>
      <c r="W57" s="535" t="n"/>
      <c r="X57" s="536" t="n"/>
      <c r="Y57" s="536" t="n"/>
      <c r="Z57" s="537" t="n"/>
    </row>
    <row r="58" hidden="1" ht="12.95" customHeight="1" s="466">
      <c r="A58" s="621" t="n"/>
      <c r="B58" s="542" t="n"/>
      <c r="C58" s="542" t="n"/>
      <c r="D58" s="547" t="n"/>
      <c r="E58" s="547" t="n"/>
      <c r="F58" s="544" t="n"/>
      <c r="G58" s="547" t="n"/>
      <c r="H58" s="547" t="n"/>
      <c r="I58" s="547" t="n"/>
      <c r="J58" s="547" t="n"/>
      <c r="K58" s="547" t="n"/>
      <c r="L58" s="546" t="n"/>
      <c r="M58" s="546" t="n"/>
      <c r="N58" s="547" t="n"/>
      <c r="O58" s="547" t="n"/>
      <c r="P58" s="546" t="n"/>
      <c r="Q58" s="547" t="n"/>
      <c r="R58" s="547" t="n"/>
      <c r="S58" s="111" t="n"/>
      <c r="U58" s="203" t="n"/>
      <c r="V58" s="534" t="n"/>
      <c r="W58" s="535" t="n"/>
      <c r="X58" s="536" t="n"/>
      <c r="Y58" s="536" t="n"/>
      <c r="Z58" s="537" t="n"/>
    </row>
    <row r="59" hidden="1" ht="12" customHeight="1" s="466">
      <c r="A59" s="621" t="n"/>
      <c r="B59" s="636" t="n"/>
      <c r="C59" s="636" t="n"/>
      <c r="D59" s="637" t="n"/>
      <c r="E59" s="637" t="n"/>
      <c r="F59" s="637" t="n"/>
      <c r="G59" s="637" t="n"/>
      <c r="H59" s="637" t="n"/>
      <c r="I59" s="637" t="n"/>
      <c r="J59" s="638" t="n"/>
      <c r="K59" s="636" t="n"/>
      <c r="L59" s="638" t="n"/>
      <c r="M59" s="636" t="n"/>
      <c r="N59" s="637" t="n"/>
      <c r="O59" s="637" t="n"/>
      <c r="P59" s="638" t="n"/>
      <c r="Q59" s="636" t="n"/>
      <c r="R59" s="639" t="n"/>
      <c r="S59" s="158">
        <f>IF(COUNTIF($B59:$R59,"?")=0,"","塾 "&amp;COUNTIF($B59:$R59,"☑")&amp;"/"&amp;COUNTIF($B59:$R59,"?"))</f>
        <v/>
      </c>
      <c r="U59" s="203" t="n"/>
      <c r="V59" s="534" t="n"/>
      <c r="W59" s="535" t="n"/>
      <c r="X59" s="536" t="n"/>
      <c r="Y59" s="536" t="n"/>
      <c r="Z59" s="537" t="n"/>
    </row>
    <row r="60" hidden="1" ht="12.95" customHeight="1" s="466">
      <c r="A60" s="621" t="n"/>
      <c r="B60" s="552" t="n"/>
      <c r="C60" s="552" t="n"/>
      <c r="D60" s="556" t="n"/>
      <c r="E60" s="556" t="n"/>
      <c r="F60" s="553" t="n"/>
      <c r="G60" s="556" t="n"/>
      <c r="H60" s="556" t="n"/>
      <c r="I60" s="556" t="n"/>
      <c r="J60" s="556" t="n"/>
      <c r="K60" s="556" t="n"/>
      <c r="L60" s="555" t="n"/>
      <c r="M60" s="555" t="n"/>
      <c r="N60" s="556" t="n"/>
      <c r="O60" s="556" t="n"/>
      <c r="P60" s="555" t="n"/>
      <c r="Q60" s="556" t="n"/>
      <c r="R60" s="556" t="n"/>
      <c r="S60" s="111" t="n"/>
      <c r="U60" s="203" t="n"/>
      <c r="V60" s="534" t="n"/>
      <c r="W60" s="535" t="n"/>
      <c r="X60" s="536" t="n"/>
      <c r="Y60" s="536" t="n"/>
      <c r="Z60" s="537" t="n"/>
    </row>
    <row r="61" hidden="1" ht="12" customHeight="1" s="466">
      <c r="A61" s="630" t="n"/>
      <c r="B61" s="558" t="n"/>
      <c r="C61" s="558" t="n"/>
      <c r="D61" s="559" t="n"/>
      <c r="E61" s="559" t="n"/>
      <c r="F61" s="559" t="n"/>
      <c r="G61" s="559" t="n"/>
      <c r="H61" s="559" t="n"/>
      <c r="I61" s="559" t="n"/>
      <c r="J61" s="560" t="n"/>
      <c r="K61" s="558" t="n"/>
      <c r="L61" s="560" t="n"/>
      <c r="M61" s="558" t="n"/>
      <c r="N61" s="559" t="n"/>
      <c r="O61" s="559" t="n"/>
      <c r="P61" s="560" t="n"/>
      <c r="Q61" s="558" t="n"/>
      <c r="R61" s="561" t="n"/>
      <c r="S61" s="158">
        <f>IF(COUNTIF($B61:$R61,"?")=0,"","家 "&amp;COUNTIF($B61:$R61,"☑")&amp;"/"&amp;COUNTIF($B61:$R61,"?"))</f>
        <v/>
      </c>
      <c r="U61" s="204" t="n"/>
      <c r="V61" s="562" t="n"/>
      <c r="W61" s="563" t="n"/>
      <c r="X61" s="564" t="n"/>
      <c r="Y61" s="564" t="n"/>
      <c r="Z61" s="565" t="n"/>
    </row>
    <row r="62" ht="20.1" customHeight="1" s="466">
      <c r="A62" s="640" t="inlineStr">
        <is>
          <t>化学</t>
        </is>
      </c>
      <c r="B62" s="530" t="n"/>
      <c r="C62" s="530" t="n"/>
      <c r="D62" s="533" t="n"/>
      <c r="E62" s="533" t="n"/>
      <c r="F62" s="533" t="n"/>
      <c r="G62" s="533" t="n"/>
      <c r="H62" s="533" t="n"/>
      <c r="I62" s="533" t="n"/>
      <c r="J62" s="530" t="n"/>
      <c r="K62" s="530" t="n"/>
      <c r="L62" s="530" t="n"/>
      <c r="M62" s="530" t="n"/>
      <c r="N62" s="533" t="n"/>
      <c r="O62" s="533" t="n"/>
      <c r="P62" s="530" t="n"/>
      <c r="Q62" s="533" t="n"/>
      <c r="R62" s="533" t="n"/>
      <c r="S62" s="94">
        <f>IF((COUNTIF($B63:$R63,"?*")-COUNTIF($B63:$R63,"※")+COUNTIF($B63:$R63,"*・*"))=0,"",(COUNTIF($B63:$R63,"☑*")+COUNTIF($B63:$R63,"☑*・*"))&amp;"/"&amp;(COUNTIF($B63:$R63,"?*")-COUNTIF($B63:$R63,"※")+COUNTIF($B63:$R63,"*・*"))&amp;"回"&amp;IF(SUMPRODUCT((LEFT($B63:$R63,1)&lt;&gt;"☑")*($B63:$R63&lt;&gt;"")*($B63:$R63&lt;&gt;"※")*(期間終了日&lt;基準日)*(1+ISNUMBER(FIND("・",$B63:$R63))))&gt;0,CHAR(10)&amp;"遅れ"&amp;SUMPRODUCT((LEFT($B63:$R63,1)&lt;&gt;"☑")*($B63:$R63&lt;&gt;"")*($B63:$R63&lt;&gt;"※")*(期間終了日&lt;基準日)*(1+ISNUMBER(FIND("・",$B63:$R63)))),""))</f>
        <v/>
      </c>
      <c r="U62" s="203" t="n"/>
      <c r="V62" s="534" t="inlineStr">
        <is>
          <t>G3CKQ　学研 共通テスト 化学基礎</t>
        </is>
      </c>
      <c r="W62" s="535" t="n"/>
      <c r="X62" s="536" t="n"/>
      <c r="Y62" s="536" t="inlineStr">
        <is>
          <t>実戦1</t>
        </is>
      </c>
      <c r="Z62" s="537" t="n"/>
    </row>
    <row r="63" ht="14.1" customHeight="1" s="466">
      <c r="A63" s="621" t="n"/>
      <c r="B63" s="641" t="n"/>
      <c r="C63" s="641" t="n"/>
      <c r="D63" s="641" t="n"/>
      <c r="E63" s="641" t="n"/>
      <c r="F63" s="641" t="n"/>
      <c r="G63" s="641" t="n"/>
      <c r="H63" s="641" t="n"/>
      <c r="I63" s="641" t="n"/>
      <c r="J63" s="642" t="n"/>
      <c r="K63" s="643" t="n"/>
      <c r="L63" s="642" t="n"/>
      <c r="M63" s="643" t="n"/>
      <c r="N63" s="641" t="n"/>
      <c r="O63" s="641" t="n"/>
      <c r="P63" s="642" t="n"/>
      <c r="Q63" s="643" t="n"/>
      <c r="R63" s="644" t="n"/>
      <c r="S63" s="95">
        <f>IF((COUNTIF($B63:$R63,"?*")-COUNTIF($B63:$R63,"※")+COUNTIF($B63:$R63,"*・*"))=0,"",(COUNTIF($B63:$R63,"☑*")+COUNTIF($B63:$R63,"☑*・*"))/(COUNTIF($B63:$R63,"?*")-COUNTIF($B63:$R63,"※")+COUNTIF($B63:$R63,"*・*")))</f>
        <v/>
      </c>
      <c r="U63" s="203" t="n"/>
      <c r="V63" s="534" t="n"/>
      <c r="W63" s="535" t="n"/>
      <c r="X63" s="536" t="n"/>
      <c r="Y63" s="536" t="n"/>
      <c r="Z63" s="537" t="n"/>
    </row>
    <row r="64" hidden="1" ht="12.95" customHeight="1" s="466">
      <c r="A64" s="621" t="n"/>
      <c r="B64" s="542" t="n"/>
      <c r="C64" s="542" t="n"/>
      <c r="D64" s="547" t="n"/>
      <c r="E64" s="547" t="n"/>
      <c r="F64" s="544" t="n"/>
      <c r="G64" s="547" t="n"/>
      <c r="H64" s="547" t="n"/>
      <c r="I64" s="547" t="n"/>
      <c r="J64" s="547" t="n"/>
      <c r="K64" s="547" t="n"/>
      <c r="L64" s="546" t="n"/>
      <c r="M64" s="546" t="n"/>
      <c r="N64" s="547" t="n"/>
      <c r="O64" s="547" t="n"/>
      <c r="P64" s="546" t="n"/>
      <c r="Q64" s="547" t="n"/>
      <c r="R64" s="547" t="n"/>
      <c r="S64" s="111" t="n"/>
      <c r="U64" s="203" t="n"/>
      <c r="V64" s="534" t="n"/>
      <c r="W64" s="535" t="n"/>
      <c r="X64" s="536" t="n"/>
      <c r="Y64" s="536" t="n"/>
      <c r="Z64" s="537" t="n"/>
    </row>
    <row r="65" hidden="1" ht="12" customHeight="1" s="466">
      <c r="A65" s="621" t="n"/>
      <c r="B65" s="645" t="n"/>
      <c r="C65" s="645" t="n"/>
      <c r="D65" s="646" t="n"/>
      <c r="E65" s="646" t="n"/>
      <c r="F65" s="646" t="n"/>
      <c r="G65" s="646" t="n"/>
      <c r="H65" s="646" t="n"/>
      <c r="I65" s="646" t="n"/>
      <c r="J65" s="647" t="n"/>
      <c r="K65" s="645" t="n"/>
      <c r="L65" s="647" t="n"/>
      <c r="M65" s="645" t="n"/>
      <c r="N65" s="646" t="n"/>
      <c r="O65" s="646" t="n"/>
      <c r="P65" s="647" t="n"/>
      <c r="Q65" s="645" t="n"/>
      <c r="R65" s="648" t="n"/>
      <c r="S65" s="158">
        <f>IF(COUNTIF($B65:$R65,"?")=0,"","塾 "&amp;COUNTIF($B65:$R65,"☑")&amp;"/"&amp;COUNTIF($B65:$R65,"?"))</f>
        <v/>
      </c>
      <c r="U65" s="203" t="n"/>
      <c r="V65" s="534" t="n"/>
      <c r="W65" s="535" t="n"/>
      <c r="X65" s="536" t="n"/>
      <c r="Y65" s="536" t="n"/>
      <c r="Z65" s="537" t="n"/>
    </row>
    <row r="66" hidden="1" ht="12.95" customHeight="1" s="466">
      <c r="A66" s="621" t="n"/>
      <c r="B66" s="552" t="n"/>
      <c r="C66" s="552" t="n"/>
      <c r="D66" s="556" t="n"/>
      <c r="E66" s="556" t="n"/>
      <c r="F66" s="553" t="n"/>
      <c r="G66" s="556" t="n"/>
      <c r="H66" s="556" t="n"/>
      <c r="I66" s="556" t="n"/>
      <c r="J66" s="556" t="n"/>
      <c r="K66" s="556" t="n"/>
      <c r="L66" s="555" t="n"/>
      <c r="M66" s="555" t="n"/>
      <c r="N66" s="556" t="n"/>
      <c r="O66" s="556" t="n"/>
      <c r="P66" s="555" t="n"/>
      <c r="Q66" s="556" t="n"/>
      <c r="R66" s="556" t="n"/>
      <c r="S66" s="111" t="n"/>
      <c r="U66" s="203" t="n"/>
      <c r="V66" s="534" t="n"/>
      <c r="W66" s="535" t="n"/>
      <c r="X66" s="536" t="n"/>
      <c r="Y66" s="536" t="n"/>
      <c r="Z66" s="537" t="n"/>
    </row>
    <row r="67" hidden="1" ht="12" customHeight="1" s="466">
      <c r="A67" s="630" t="n"/>
      <c r="B67" s="558" t="n"/>
      <c r="C67" s="558" t="n"/>
      <c r="D67" s="559" t="n"/>
      <c r="E67" s="559" t="n"/>
      <c r="F67" s="559" t="n"/>
      <c r="G67" s="559" t="n"/>
      <c r="H67" s="559" t="n"/>
      <c r="I67" s="559" t="n"/>
      <c r="J67" s="560" t="n"/>
      <c r="K67" s="558" t="n"/>
      <c r="L67" s="560" t="n"/>
      <c r="M67" s="558" t="n"/>
      <c r="N67" s="559" t="n"/>
      <c r="O67" s="559" t="n"/>
      <c r="P67" s="560" t="n"/>
      <c r="Q67" s="558" t="n"/>
      <c r="R67" s="561" t="n"/>
      <c r="S67" s="158">
        <f>IF(COUNTIF($B67:$R67,"?")=0,"","家 "&amp;COUNTIF($B67:$R67,"☑")&amp;"/"&amp;COUNTIF($B67:$R67,"?"))</f>
        <v/>
      </c>
      <c r="U67" s="204" t="n"/>
      <c r="V67" s="562" t="n"/>
      <c r="W67" s="563" t="n"/>
      <c r="X67" s="564" t="n"/>
      <c r="Y67" s="564" t="n"/>
      <c r="Z67" s="565" t="n"/>
    </row>
    <row r="68" ht="20.1" customHeight="1" s="466">
      <c r="A68" s="649" t="inlineStr">
        <is>
          <t>生物</t>
        </is>
      </c>
      <c r="B68" s="530" t="n"/>
      <c r="C68" s="530" t="n"/>
      <c r="D68" s="533" t="n"/>
      <c r="E68" s="533" t="n"/>
      <c r="F68" s="533" t="n"/>
      <c r="G68" s="533" t="n"/>
      <c r="H68" s="533" t="n"/>
      <c r="I68" s="533" t="n"/>
      <c r="J68" s="530" t="n"/>
      <c r="K68" s="530" t="n"/>
      <c r="L68" s="530" t="n"/>
      <c r="M68" s="530" t="n"/>
      <c r="N68" s="533" t="n"/>
      <c r="O68" s="533" t="n"/>
      <c r="P68" s="530" t="n"/>
      <c r="Q68" s="533" t="n"/>
      <c r="R68" s="533" t="n"/>
      <c r="S68" s="94">
        <f>IF((COUNTIF($B69:$R69,"?*")-COUNTIF($B69:$R69,"※")+COUNTIF($B69:$R69,"*・*"))=0,"",(COUNTIF($B69:$R69,"☑*")+COUNTIF($B69:$R69,"☑*・*"))&amp;"/"&amp;(COUNTIF($B69:$R69,"?*")-COUNTIF($B69:$R69,"※")+COUNTIF($B69:$R69,"*・*"))&amp;"回"&amp;IF(SUMPRODUCT((LEFT($B69:$R69,1)&lt;&gt;"☑")*($B69:$R69&lt;&gt;"")*($B69:$R69&lt;&gt;"※")*(期間終了日&lt;基準日)*(1+ISNUMBER(FIND("・",$B69:$R69))))&gt;0,CHAR(10)&amp;"遅れ"&amp;SUMPRODUCT((LEFT($B69:$R69,1)&lt;&gt;"☑")*($B69:$R69&lt;&gt;"")*($B69:$R69&lt;&gt;"※")*(期間終了日&lt;基準日)*(1+ISNUMBER(FIND("・",$B69:$R69)))),""))</f>
        <v/>
      </c>
      <c r="U68" s="203" t="n"/>
      <c r="V68" s="534" t="inlineStr">
        <is>
          <t>G3BKQ　学研 共通テスト 生物基礎</t>
        </is>
      </c>
      <c r="W68" s="535" t="inlineStr">
        <is>
          <t>練成1</t>
        </is>
      </c>
      <c r="X68" s="536" t="n"/>
      <c r="Y68" s="536" t="inlineStr">
        <is>
          <t>実戦1</t>
        </is>
      </c>
      <c r="Z68" s="537" t="n"/>
    </row>
    <row r="69" ht="14.1" customHeight="1" s="466">
      <c r="A69" s="621" t="n"/>
      <c r="B69" s="650" t="n"/>
      <c r="C69" s="650" t="n"/>
      <c r="D69" s="650" t="n"/>
      <c r="E69" s="650" t="n"/>
      <c r="F69" s="650" t="n"/>
      <c r="G69" s="650" t="n"/>
      <c r="H69" s="650" t="n"/>
      <c r="I69" s="650" t="n"/>
      <c r="J69" s="651" t="n"/>
      <c r="K69" s="652" t="n"/>
      <c r="L69" s="651" t="n"/>
      <c r="M69" s="652" t="n"/>
      <c r="N69" s="650" t="n"/>
      <c r="O69" s="650" t="n"/>
      <c r="P69" s="651" t="n"/>
      <c r="Q69" s="652" t="n"/>
      <c r="R69" s="653" t="n"/>
      <c r="S69" s="95">
        <f>IF((COUNTIF($B69:$R69,"?*")-COUNTIF($B69:$R69,"※")+COUNTIF($B69:$R69,"*・*"))=0,"",(COUNTIF($B69:$R69,"☑*")+COUNTIF($B69:$R69,"☑*・*"))/(COUNTIF($B69:$R69,"?*")-COUNTIF($B69:$R69,"※")+COUNTIF($B69:$R69,"*・*")))</f>
        <v/>
      </c>
      <c r="U69" s="203" t="n"/>
      <c r="V69" s="534" t="n"/>
      <c r="W69" s="535" t="n"/>
      <c r="X69" s="536" t="n"/>
      <c r="Y69" s="536" t="n"/>
      <c r="Z69" s="537" t="n"/>
    </row>
    <row r="70" hidden="1" ht="12.95" customHeight="1" s="466">
      <c r="A70" s="621" t="n"/>
      <c r="B70" s="542" t="n"/>
      <c r="C70" s="542" t="n"/>
      <c r="D70" s="547" t="n"/>
      <c r="E70" s="547" t="n"/>
      <c r="F70" s="544" t="n"/>
      <c r="G70" s="547" t="n"/>
      <c r="H70" s="547" t="n"/>
      <c r="I70" s="547" t="n"/>
      <c r="J70" s="547" t="n"/>
      <c r="K70" s="547" t="n"/>
      <c r="L70" s="546" t="n"/>
      <c r="M70" s="546" t="n"/>
      <c r="N70" s="547" t="n"/>
      <c r="O70" s="547" t="n"/>
      <c r="P70" s="546" t="n"/>
      <c r="Q70" s="547" t="n"/>
      <c r="R70" s="547" t="n"/>
      <c r="S70" s="111" t="n"/>
      <c r="U70" s="203" t="n"/>
      <c r="V70" s="534" t="n"/>
      <c r="W70" s="535" t="n"/>
      <c r="X70" s="536" t="n"/>
      <c r="Y70" s="536" t="n"/>
      <c r="Z70" s="537" t="n"/>
    </row>
    <row r="71" hidden="1" ht="12" customHeight="1" s="466">
      <c r="A71" s="621" t="n"/>
      <c r="B71" s="654" t="n"/>
      <c r="C71" s="654" t="n"/>
      <c r="D71" s="655" t="n"/>
      <c r="E71" s="655" t="n"/>
      <c r="F71" s="655" t="n"/>
      <c r="G71" s="655" t="n"/>
      <c r="H71" s="655" t="n"/>
      <c r="I71" s="655" t="n"/>
      <c r="J71" s="656" t="n"/>
      <c r="K71" s="654" t="n"/>
      <c r="L71" s="656" t="n"/>
      <c r="M71" s="654" t="n"/>
      <c r="N71" s="655" t="n"/>
      <c r="O71" s="655" t="n"/>
      <c r="P71" s="656" t="n"/>
      <c r="Q71" s="654" t="n"/>
      <c r="R71" s="657" t="n"/>
      <c r="S71" s="158">
        <f>IF(COUNTIF($B71:$R71,"?")=0,"","塾 "&amp;COUNTIF($B71:$R71,"☑")&amp;"/"&amp;COUNTIF($B71:$R71,"?"))</f>
        <v/>
      </c>
      <c r="U71" s="203" t="n"/>
      <c r="V71" s="534" t="n"/>
      <c r="W71" s="535" t="n"/>
      <c r="X71" s="536" t="n"/>
      <c r="Y71" s="536" t="n"/>
      <c r="Z71" s="537" t="n"/>
    </row>
    <row r="72" hidden="1" ht="12.95" customHeight="1" s="466">
      <c r="A72" s="621" t="n"/>
      <c r="B72" s="552" t="n"/>
      <c r="C72" s="552" t="n"/>
      <c r="D72" s="556" t="n"/>
      <c r="E72" s="556" t="n"/>
      <c r="F72" s="553" t="n"/>
      <c r="G72" s="556" t="n"/>
      <c r="H72" s="556" t="n"/>
      <c r="I72" s="556" t="n"/>
      <c r="J72" s="556" t="n"/>
      <c r="K72" s="556" t="n"/>
      <c r="L72" s="555" t="n"/>
      <c r="M72" s="555" t="n"/>
      <c r="N72" s="556" t="n"/>
      <c r="O72" s="556" t="n"/>
      <c r="P72" s="555" t="n"/>
      <c r="Q72" s="556" t="n"/>
      <c r="R72" s="556" t="n"/>
      <c r="S72" s="111" t="n"/>
      <c r="U72" s="203" t="n"/>
      <c r="V72" s="534" t="n"/>
      <c r="W72" s="535" t="n"/>
      <c r="X72" s="536" t="n"/>
      <c r="Y72" s="536" t="n"/>
      <c r="Z72" s="537" t="n"/>
    </row>
    <row r="73" hidden="1" ht="12" customHeight="1" s="466">
      <c r="A73" s="630" t="n"/>
      <c r="B73" s="558" t="n"/>
      <c r="C73" s="558" t="n"/>
      <c r="D73" s="559" t="n"/>
      <c r="E73" s="559" t="n"/>
      <c r="F73" s="559" t="n"/>
      <c r="G73" s="559" t="n"/>
      <c r="H73" s="559" t="n"/>
      <c r="I73" s="559" t="n"/>
      <c r="J73" s="560" t="n"/>
      <c r="K73" s="558" t="n"/>
      <c r="L73" s="560" t="n"/>
      <c r="M73" s="558" t="n"/>
      <c r="N73" s="559" t="n"/>
      <c r="O73" s="559" t="n"/>
      <c r="P73" s="560" t="n"/>
      <c r="Q73" s="558" t="n"/>
      <c r="R73" s="561" t="n"/>
      <c r="S73" s="158">
        <f>IF(COUNTIF($B73:$R73,"?")=0,"","家 "&amp;COUNTIF($B73:$R73,"☑")&amp;"/"&amp;COUNTIF($B73:$R73,"?"))</f>
        <v/>
      </c>
      <c r="U73" s="204" t="n"/>
      <c r="V73" s="562" t="n"/>
      <c r="W73" s="563" t="n"/>
      <c r="X73" s="564" t="n"/>
      <c r="Y73" s="564" t="n"/>
      <c r="Z73" s="565" t="n"/>
    </row>
    <row r="74" ht="20.1" customHeight="1" s="466">
      <c r="A74" s="658" t="inlineStr">
        <is>
          <t>公共・情報</t>
        </is>
      </c>
      <c r="B74" s="530" t="n"/>
      <c r="C74" s="530" t="n"/>
      <c r="D74" s="533" t="n"/>
      <c r="E74" s="533" t="n"/>
      <c r="F74" s="533" t="n"/>
      <c r="G74" s="533" t="n"/>
      <c r="H74" s="533" t="n"/>
      <c r="I74" s="533" t="n"/>
      <c r="J74" s="530" t="n"/>
      <c r="K74" s="530" t="n"/>
      <c r="L74" s="530" t="n"/>
      <c r="M74" s="530" t="n"/>
      <c r="N74" s="533" t="n"/>
      <c r="O74" s="533" t="n"/>
      <c r="P74" s="530" t="n"/>
      <c r="Q74" s="533" t="n"/>
      <c r="R74" s="533" t="n"/>
      <c r="S74" s="94">
        <f>IF((COUNTIF($B75:$R75,"?*")-COUNTIF($B75:$R75,"※")+COUNTIF($B75:$R75,"*・*"))=0,"",(COUNTIF($B75:$R75,"☑*")+COUNTIF($B75:$R75,"☑*・*"))&amp;"/"&amp;(COUNTIF($B75:$R75,"?*")-COUNTIF($B75:$R75,"※")+COUNTIF($B75:$R75,"*・*"))&amp;"回"&amp;IF(SUMPRODUCT((LEFT($B75:$R75,1)&lt;&gt;"☑")*($B75:$R75&lt;&gt;"")*($B75:$R75&lt;&gt;"※")*(期間終了日&lt;基準日)*(1+ISNUMBER(FIND("・",$B75:$R75))))&gt;0,CHAR(10)&amp;"遅れ"&amp;SUMPRODUCT((LEFT($B75:$R75,1)&lt;&gt;"☑")*($B75:$R75&lt;&gt;"")*($B75:$R75&lt;&gt;"※")*(期間終了日&lt;基準日)*(1+ISNUMBER(FIND("・",$B75:$R75)))),""))</f>
        <v/>
      </c>
      <c r="U74" s="203" t="n"/>
      <c r="V74" s="534" t="inlineStr">
        <is>
          <t>3PSQ　大学入学共通テスト 公共，政治経済</t>
        </is>
      </c>
      <c r="W74" s="535" t="inlineStr">
        <is>
          <t>練成1</t>
        </is>
      </c>
      <c r="X74" s="536" t="n"/>
      <c r="Y74" s="536" t="inlineStr">
        <is>
          <t>実戦1</t>
        </is>
      </c>
      <c r="Z74" s="537" t="n"/>
    </row>
    <row r="75" ht="14.1" customHeight="1" s="466">
      <c r="A75" s="506" t="n"/>
      <c r="B75" s="659" t="n"/>
      <c r="C75" s="659" t="n"/>
      <c r="D75" s="659" t="n"/>
      <c r="E75" s="659" t="n"/>
      <c r="F75" s="659" t="n"/>
      <c r="G75" s="659" t="n"/>
      <c r="H75" s="659" t="n"/>
      <c r="I75" s="659" t="n"/>
      <c r="J75" s="660" t="n"/>
      <c r="K75" s="661" t="n"/>
      <c r="L75" s="660" t="n"/>
      <c r="M75" s="661" t="n"/>
      <c r="N75" s="659" t="n"/>
      <c r="O75" s="659" t="n"/>
      <c r="P75" s="660" t="n"/>
      <c r="Q75" s="661" t="n"/>
      <c r="R75" s="662" t="n"/>
      <c r="S75" s="95">
        <f>IF((COUNTIF($B75:$R75,"?*")-COUNTIF($B75:$R75,"※")+COUNTIF($B75:$R75,"*・*"))=0,"",(COUNTIF($B75:$R75,"☑*")+COUNTIF($B75:$R75,"☑*・*"))/(COUNTIF($B75:$R75,"?*")-COUNTIF($B75:$R75,"※")+COUNTIF($B75:$R75,"*・*")))</f>
        <v/>
      </c>
      <c r="U75" s="203" t="n"/>
      <c r="V75" s="534" t="inlineStr">
        <is>
          <t>3IQ　大学入学共通テスト 情報Ⅰ</t>
        </is>
      </c>
      <c r="W75" s="535" t="inlineStr">
        <is>
          <t>練成1</t>
        </is>
      </c>
      <c r="X75" s="536" t="n"/>
      <c r="Y75" s="536" t="inlineStr">
        <is>
          <t>実戦1</t>
        </is>
      </c>
      <c r="Z75" s="537" t="n"/>
    </row>
    <row r="76" hidden="1" ht="12.95" customHeight="1" s="466">
      <c r="A76" s="506" t="n"/>
      <c r="B76" s="542" t="n"/>
      <c r="C76" s="542" t="n"/>
      <c r="D76" s="547" t="n"/>
      <c r="E76" s="547" t="n"/>
      <c r="F76" s="544" t="n"/>
      <c r="G76" s="547" t="n"/>
      <c r="H76" s="547" t="n"/>
      <c r="I76" s="547" t="n"/>
      <c r="J76" s="547" t="n"/>
      <c r="K76" s="547" t="n"/>
      <c r="L76" s="546" t="n"/>
      <c r="M76" s="546" t="n"/>
      <c r="N76" s="547" t="n"/>
      <c r="O76" s="547" t="n"/>
      <c r="P76" s="546" t="n"/>
      <c r="Q76" s="547" t="n"/>
      <c r="R76" s="547" t="n"/>
      <c r="S76" s="111" t="n"/>
      <c r="U76" s="203" t="n"/>
      <c r="V76" s="534" t="n"/>
      <c r="W76" s="535" t="n"/>
      <c r="X76" s="536" t="n"/>
      <c r="Y76" s="536" t="n"/>
      <c r="Z76" s="537" t="n"/>
    </row>
    <row r="77" hidden="1" ht="12" customHeight="1" s="466">
      <c r="A77" s="506" t="n"/>
      <c r="B77" s="663" t="n"/>
      <c r="C77" s="663" t="n"/>
      <c r="D77" s="664" t="n"/>
      <c r="E77" s="664" t="n"/>
      <c r="F77" s="664" t="n"/>
      <c r="G77" s="664" t="n"/>
      <c r="H77" s="664" t="n"/>
      <c r="I77" s="664" t="n"/>
      <c r="J77" s="665" t="n"/>
      <c r="K77" s="663" t="n"/>
      <c r="L77" s="665" t="n"/>
      <c r="M77" s="663" t="n"/>
      <c r="N77" s="664" t="n"/>
      <c r="O77" s="664" t="n"/>
      <c r="P77" s="665" t="n"/>
      <c r="Q77" s="663" t="n"/>
      <c r="R77" s="666" t="n"/>
      <c r="S77" s="158">
        <f>IF(COUNTIF($B77:$R77,"?")=0,"","塾 "&amp;COUNTIF($B77:$R77,"☑")&amp;"/"&amp;COUNTIF($B77:$R77,"?"))</f>
        <v/>
      </c>
      <c r="U77" s="203" t="n"/>
      <c r="V77" s="534" t="n"/>
      <c r="W77" s="535" t="n"/>
      <c r="X77" s="536" t="n"/>
      <c r="Y77" s="536" t="n"/>
      <c r="Z77" s="537" t="n"/>
    </row>
    <row r="78" hidden="1" ht="12.95" customHeight="1" s="466">
      <c r="A78" s="506" t="n"/>
      <c r="B78" s="552" t="n"/>
      <c r="C78" s="552" t="n"/>
      <c r="D78" s="556" t="n"/>
      <c r="E78" s="556" t="n"/>
      <c r="F78" s="553" t="n"/>
      <c r="G78" s="556" t="n"/>
      <c r="H78" s="556" t="n"/>
      <c r="I78" s="556" t="n"/>
      <c r="J78" s="556" t="n"/>
      <c r="K78" s="556" t="n"/>
      <c r="L78" s="555" t="n"/>
      <c r="M78" s="555" t="n"/>
      <c r="N78" s="556" t="n"/>
      <c r="O78" s="556" t="n"/>
      <c r="P78" s="555" t="n"/>
      <c r="Q78" s="556" t="n"/>
      <c r="R78" s="556" t="n"/>
      <c r="S78" s="111" t="n"/>
      <c r="U78" s="203" t="n"/>
      <c r="V78" s="534" t="n"/>
      <c r="W78" s="535" t="n"/>
      <c r="X78" s="536" t="n"/>
      <c r="Y78" s="536" t="n"/>
      <c r="Z78" s="537" t="n"/>
    </row>
    <row r="79" hidden="1" ht="12" customHeight="1" s="466">
      <c r="A79" s="667" t="n"/>
      <c r="B79" s="558" t="n"/>
      <c r="C79" s="558" t="n"/>
      <c r="D79" s="559" t="n"/>
      <c r="E79" s="559" t="n"/>
      <c r="F79" s="559" t="n"/>
      <c r="G79" s="559" t="n"/>
      <c r="H79" s="559" t="n"/>
      <c r="I79" s="559" t="n"/>
      <c r="J79" s="560" t="n"/>
      <c r="K79" s="558" t="n"/>
      <c r="L79" s="560" t="n"/>
      <c r="M79" s="558" t="n"/>
      <c r="N79" s="559" t="n"/>
      <c r="O79" s="559" t="n"/>
      <c r="P79" s="560" t="n"/>
      <c r="Q79" s="558" t="n"/>
      <c r="R79" s="561" t="n"/>
      <c r="S79" s="158">
        <f>IF(COUNTIF($B79:$R79,"?")=0,"","家 "&amp;COUNTIF($B79:$R79,"☑")&amp;"/"&amp;COUNTIF($B79:$R79,"?"))</f>
        <v/>
      </c>
      <c r="U79" s="204" t="n"/>
      <c r="V79" s="562" t="n"/>
      <c r="W79" s="563" t="n"/>
      <c r="X79" s="564" t="n"/>
      <c r="Y79" s="564" t="n"/>
      <c r="Z79" s="565" t="n"/>
    </row>
    <row r="80" ht="24" customHeight="1" s="466">
      <c r="A80" s="322" t="inlineStr">
        <is>
          <t>【使い方】各科目6行：講座の帯／回（ダブルクリックで☑）／【塾】授業の教材／☐毎月の進み（ダブルクリックで☑）／【家】家庭学習の教材／☐毎月の進み。共通テスト対策は9月スタート（右欄の回もダブルクリックで☑）。終了日（設定シート）を過ぎても未完了は赤。内容は『データシート』の志望校・受験科目のチェックから自動で組み立て（レベルは志望校で決定）。期間は高2の1月〜直前Ⅱ期（翌2月）。※＝推奨受講期間。講座の出典：2027年度 高校生ウイングネット学習・講座ガイド P5・P22-23（一部は仮置き：講座マスタ参照）。教材は仮（要確認）。</t>
        </is>
      </c>
    </row>
    <row r="81" ht="15.95" customHeight="1" s="466">
      <c r="A81" s="325" t="inlineStr">
        <is>
          <t>高校・大学受験専門 個人指導塾PLATZ ／ 〒373-0817 群馬県太田市飯塚町1417-1 ／ TEL 0276-55-4230 ／ 定休日：日・水</t>
        </is>
      </c>
      <c r="Q81" s="112" t="n"/>
      <c r="R81" s="324" t="n"/>
      <c r="S81" s="324" t="n"/>
      <c r="T81" s="324" t="n"/>
      <c r="U81" s="324" t="n"/>
      <c r="V81" s="323">
        <f>"作成日："&amp;TEXT(基準日,"yyyy年m月d日")</f>
        <v/>
      </c>
    </row>
  </sheetData>
  <mergeCells count="90">
    <mergeCell ref="M32:P32"/>
    <mergeCell ref="M14:P14"/>
    <mergeCell ref="K26:L26"/>
    <mergeCell ref="V1:Z1"/>
    <mergeCell ref="C20:J20"/>
    <mergeCell ref="E4:R4"/>
    <mergeCell ref="F10:L10"/>
    <mergeCell ref="Q26:R26"/>
    <mergeCell ref="A74:A79"/>
    <mergeCell ref="A56:A61"/>
    <mergeCell ref="A26:A31"/>
    <mergeCell ref="A80:Z80"/>
    <mergeCell ref="B12:E12"/>
    <mergeCell ref="B4:D4"/>
    <mergeCell ref="E1:H1"/>
    <mergeCell ref="M10:P10"/>
    <mergeCell ref="B40:L40"/>
    <mergeCell ref="B16:J16"/>
    <mergeCell ref="A8:A13"/>
    <mergeCell ref="M16:P16"/>
    <mergeCell ref="C32:J32"/>
    <mergeCell ref="C38:J38"/>
    <mergeCell ref="K28:L28"/>
    <mergeCell ref="A68:A73"/>
    <mergeCell ref="M18:P18"/>
    <mergeCell ref="A5:S5"/>
    <mergeCell ref="M8:P8"/>
    <mergeCell ref="Q12:R12"/>
    <mergeCell ref="B18:L18"/>
    <mergeCell ref="M30:R30"/>
    <mergeCell ref="C26:J26"/>
    <mergeCell ref="Q38:R38"/>
    <mergeCell ref="A50:A55"/>
    <mergeCell ref="B6:J6"/>
    <mergeCell ref="W6:Z6"/>
    <mergeCell ref="U5:Z5"/>
    <mergeCell ref="A14:A19"/>
    <mergeCell ref="F36:L36"/>
    <mergeCell ref="B24:L24"/>
    <mergeCell ref="K6:L6"/>
    <mergeCell ref="K16:L16"/>
    <mergeCell ref="V3:Z3"/>
    <mergeCell ref="F22:L22"/>
    <mergeCell ref="B30:H30"/>
    <mergeCell ref="C14:J14"/>
    <mergeCell ref="Q42:R42"/>
    <mergeCell ref="I1:S3"/>
    <mergeCell ref="V81:Z81"/>
    <mergeCell ref="B28:J28"/>
    <mergeCell ref="Q20:R20"/>
    <mergeCell ref="Q14:R14"/>
    <mergeCell ref="I30:L30"/>
    <mergeCell ref="B42:L42"/>
    <mergeCell ref="S6:S7"/>
    <mergeCell ref="K8:L8"/>
    <mergeCell ref="Q6:R6"/>
    <mergeCell ref="F12:L12"/>
    <mergeCell ref="M34:R34"/>
    <mergeCell ref="A32:A37"/>
    <mergeCell ref="C8:J8"/>
    <mergeCell ref="A38:A43"/>
    <mergeCell ref="M12:P12"/>
    <mergeCell ref="B34:E34"/>
    <mergeCell ref="A44:A49"/>
    <mergeCell ref="Q16:R16"/>
    <mergeCell ref="A1:D2"/>
    <mergeCell ref="M26:P26"/>
    <mergeCell ref="V2:Z2"/>
    <mergeCell ref="Q24:R24"/>
    <mergeCell ref="M40:R40"/>
    <mergeCell ref="M24:P24"/>
    <mergeCell ref="Q18:R18"/>
    <mergeCell ref="M38:P38"/>
    <mergeCell ref="A81:P81"/>
    <mergeCell ref="Q8:R8"/>
    <mergeCell ref="B10:E10"/>
    <mergeCell ref="K20:L20"/>
    <mergeCell ref="Q10:R10"/>
    <mergeCell ref="E2:H3"/>
    <mergeCell ref="U6:V7"/>
    <mergeCell ref="M20:P20"/>
    <mergeCell ref="Q22:R22"/>
    <mergeCell ref="K14:L14"/>
    <mergeCell ref="K38:L38"/>
    <mergeCell ref="A3:D3"/>
    <mergeCell ref="A20:A25"/>
    <mergeCell ref="M6:P6"/>
    <mergeCell ref="M28:P28"/>
    <mergeCell ref="M42:P42"/>
    <mergeCell ref="A62:A67"/>
  </mergeCells>
  <conditionalFormatting sqref="B8:R8">
    <cfRule type="expression" priority="1" dxfId="127">
      <formula>B8&lt;&gt;""</formula>
    </cfRule>
  </conditionalFormatting>
  <conditionalFormatting sqref="B9:R9">
    <cfRule type="expression" priority="2" dxfId="127" stopIfTrue="1">
      <formula>LEFT(B9,1)="☑"</formula>
    </cfRule>
    <cfRule type="expression" priority="3" dxfId="128" stopIfTrue="1">
      <formula>AND(B9&lt;&gt;"",B9&lt;&gt;"※",LEFT(B9,1)&lt;&gt;"☑",INDEX(期間終了日,COLUMN()-1)&lt;基準日)</formula>
    </cfRule>
    <cfRule type="expression" priority="4" dxfId="129" stopIfTrue="1">
      <formula>B9="※"</formula>
    </cfRule>
  </conditionalFormatting>
  <conditionalFormatting sqref="B10:R10">
    <cfRule type="expression" priority="5" dxfId="130" stopIfTrue="1">
      <formula>LEFT(B10,1)="（"</formula>
    </cfRule>
    <cfRule type="expression" priority="6" dxfId="131">
      <formula>B10&lt;&gt;""</formula>
    </cfRule>
  </conditionalFormatting>
  <conditionalFormatting sqref="B12:R12">
    <cfRule type="expression" priority="7" dxfId="130" stopIfTrue="1">
      <formula>LEFT(B12,1)="（"</formula>
    </cfRule>
    <cfRule type="expression" priority="8" dxfId="132">
      <formula>B12&lt;&gt;""</formula>
    </cfRule>
  </conditionalFormatting>
  <conditionalFormatting sqref="B11:R11">
    <cfRule type="expression" priority="9" dxfId="133" stopIfTrue="1">
      <formula>B11="☑"</formula>
    </cfRule>
    <cfRule type="expression" priority="10" dxfId="128" stopIfTrue="1">
      <formula>AND(B11="☐",INDEX(期間終了日,COLUMN()-1)&lt;基準日)</formula>
    </cfRule>
  </conditionalFormatting>
  <conditionalFormatting sqref="B13:R13">
    <cfRule type="expression" priority="11" dxfId="133" stopIfTrue="1">
      <formula>B13="☑"</formula>
    </cfRule>
    <cfRule type="expression" priority="12" dxfId="128" stopIfTrue="1">
      <formula>AND(B13="☐",INDEX(期間終了日,COLUMN()-1)&lt;基準日)</formula>
    </cfRule>
  </conditionalFormatting>
  <conditionalFormatting sqref="V8:Z13">
    <cfRule type="expression" priority="13" dxfId="127" stopIfTrue="1">
      <formula>LEFT(V8,1)="☑"</formula>
    </cfRule>
    <cfRule type="expression" priority="14" dxfId="134">
      <formula>V8&lt;&gt;""</formula>
    </cfRule>
  </conditionalFormatting>
  <conditionalFormatting sqref="S8">
    <cfRule type="expression" priority="15" dxfId="135" stopIfTrue="1">
      <formula>ISNUMBER(SEARCH("遅れ",$S$8))</formula>
    </cfRule>
  </conditionalFormatting>
  <conditionalFormatting sqref="S9">
    <cfRule type="dataBar" priority="16">
      <dataBar>
        <cfvo type="num" val="0"/>
        <cfvo type="num" val="1"/>
        <color rgb="0078A0DC"/>
      </dataBar>
    </cfRule>
  </conditionalFormatting>
  <conditionalFormatting sqref="B14:R14">
    <cfRule type="expression" priority="17" dxfId="136">
      <formula>B14&lt;&gt;""</formula>
    </cfRule>
  </conditionalFormatting>
  <conditionalFormatting sqref="B15:R15">
    <cfRule type="expression" priority="18" dxfId="136" stopIfTrue="1">
      <formula>LEFT(B15,1)="☑"</formula>
    </cfRule>
    <cfRule type="expression" priority="19" dxfId="128" stopIfTrue="1">
      <formula>AND(B15&lt;&gt;"",B15&lt;&gt;"※",LEFT(B15,1)&lt;&gt;"☑",INDEX(期間終了日,COLUMN()-1)&lt;基準日)</formula>
    </cfRule>
    <cfRule type="expression" priority="20" dxfId="129" stopIfTrue="1">
      <formula>B15="※"</formula>
    </cfRule>
  </conditionalFormatting>
  <conditionalFormatting sqref="B16:R16">
    <cfRule type="expression" priority="21" dxfId="130" stopIfTrue="1">
      <formula>LEFT(B16,1)="（"</formula>
    </cfRule>
    <cfRule type="expression" priority="22" dxfId="137">
      <formula>B16&lt;&gt;""</formula>
    </cfRule>
  </conditionalFormatting>
  <conditionalFormatting sqref="B18:R18">
    <cfRule type="expression" priority="23" dxfId="130" stopIfTrue="1">
      <formula>LEFT(B18,1)="（"</formula>
    </cfRule>
    <cfRule type="expression" priority="24" dxfId="132">
      <formula>B18&lt;&gt;""</formula>
    </cfRule>
  </conditionalFormatting>
  <conditionalFormatting sqref="B17:R17">
    <cfRule type="expression" priority="25" dxfId="133" stopIfTrue="1">
      <formula>B17="☑"</formula>
    </cfRule>
    <cfRule type="expression" priority="26" dxfId="128" stopIfTrue="1">
      <formula>AND(B17="☐",INDEX(期間終了日,COLUMN()-1)&lt;基準日)</formula>
    </cfRule>
  </conditionalFormatting>
  <conditionalFormatting sqref="B19:R19">
    <cfRule type="expression" priority="27" dxfId="133" stopIfTrue="1">
      <formula>B19="☑"</formula>
    </cfRule>
    <cfRule type="expression" priority="28" dxfId="128" stopIfTrue="1">
      <formula>AND(B19="☐",INDEX(期間終了日,COLUMN()-1)&lt;基準日)</formula>
    </cfRule>
  </conditionalFormatting>
  <conditionalFormatting sqref="V14:Z19">
    <cfRule type="expression" priority="29" dxfId="136" stopIfTrue="1">
      <formula>LEFT(V14,1)="☑"</formula>
    </cfRule>
    <cfRule type="expression" priority="30" dxfId="138">
      <formula>V14&lt;&gt;""</formula>
    </cfRule>
  </conditionalFormatting>
  <conditionalFormatting sqref="S14">
    <cfRule type="expression" priority="31" dxfId="135" stopIfTrue="1">
      <formula>ISNUMBER(SEARCH("遅れ",$S$14))</formula>
    </cfRule>
  </conditionalFormatting>
  <conditionalFormatting sqref="S15">
    <cfRule type="dataBar" priority="32">
      <dataBar>
        <cfvo type="num" val="0"/>
        <cfvo type="num" val="1"/>
        <color rgb="0078A0DC"/>
      </dataBar>
    </cfRule>
  </conditionalFormatting>
  <conditionalFormatting sqref="B20:R20">
    <cfRule type="expression" priority="33" dxfId="139">
      <formula>B20&lt;&gt;""</formula>
    </cfRule>
  </conditionalFormatting>
  <conditionalFormatting sqref="B21:R21">
    <cfRule type="expression" priority="34" dxfId="139" stopIfTrue="1">
      <formula>LEFT(B21,1)="☑"</formula>
    </cfRule>
    <cfRule type="expression" priority="35" dxfId="128" stopIfTrue="1">
      <formula>AND(B21&lt;&gt;"",B21&lt;&gt;"※",LEFT(B21,1)&lt;&gt;"☑",INDEX(期間終了日,COLUMN()-1)&lt;基準日)</formula>
    </cfRule>
    <cfRule type="expression" priority="36" dxfId="129" stopIfTrue="1">
      <formula>B21="※"</formula>
    </cfRule>
  </conditionalFormatting>
  <conditionalFormatting sqref="B22:R22">
    <cfRule type="expression" priority="37" dxfId="130" stopIfTrue="1">
      <formula>LEFT(B22,1)="（"</formula>
    </cfRule>
    <cfRule type="expression" priority="38" dxfId="140">
      <formula>B22&lt;&gt;""</formula>
    </cfRule>
  </conditionalFormatting>
  <conditionalFormatting sqref="B24:R24">
    <cfRule type="expression" priority="39" dxfId="130" stopIfTrue="1">
      <formula>LEFT(B24,1)="（"</formula>
    </cfRule>
    <cfRule type="expression" priority="40" dxfId="132">
      <formula>B24&lt;&gt;""</formula>
    </cfRule>
  </conditionalFormatting>
  <conditionalFormatting sqref="B23:R23">
    <cfRule type="expression" priority="41" dxfId="133" stopIfTrue="1">
      <formula>B23="☑"</formula>
    </cfRule>
    <cfRule type="expression" priority="42" dxfId="128" stopIfTrue="1">
      <formula>AND(B23="☐",INDEX(期間終了日,COLUMN()-1)&lt;基準日)</formula>
    </cfRule>
  </conditionalFormatting>
  <conditionalFormatting sqref="B25:R25">
    <cfRule type="expression" priority="43" dxfId="133" stopIfTrue="1">
      <formula>B25="☑"</formula>
    </cfRule>
    <cfRule type="expression" priority="44" dxfId="128" stopIfTrue="1">
      <formula>AND(B25="☐",INDEX(期間終了日,COLUMN()-1)&lt;基準日)</formula>
    </cfRule>
  </conditionalFormatting>
  <conditionalFormatting sqref="V20:Z25">
    <cfRule type="expression" priority="45" dxfId="139" stopIfTrue="1">
      <formula>LEFT(V20,1)="☑"</formula>
    </cfRule>
    <cfRule type="expression" priority="46" dxfId="141">
      <formula>V20&lt;&gt;""</formula>
    </cfRule>
  </conditionalFormatting>
  <conditionalFormatting sqref="S20">
    <cfRule type="expression" priority="47" dxfId="135" stopIfTrue="1">
      <formula>ISNUMBER(SEARCH("遅れ",$S$20))</formula>
    </cfRule>
  </conditionalFormatting>
  <conditionalFormatting sqref="S21">
    <cfRule type="dataBar" priority="48">
      <dataBar>
        <cfvo type="num" val="0"/>
        <cfvo type="num" val="1"/>
        <color rgb="0078A0DC"/>
      </dataBar>
    </cfRule>
  </conditionalFormatting>
  <conditionalFormatting sqref="B26:R26">
    <cfRule type="expression" priority="49" dxfId="142">
      <formula>B26&lt;&gt;""</formula>
    </cfRule>
  </conditionalFormatting>
  <conditionalFormatting sqref="B27:R27">
    <cfRule type="expression" priority="50" dxfId="142" stopIfTrue="1">
      <formula>LEFT(B27,1)="☑"</formula>
    </cfRule>
    <cfRule type="expression" priority="51" dxfId="128" stopIfTrue="1">
      <formula>AND(B27&lt;&gt;"",B27&lt;&gt;"※",LEFT(B27,1)&lt;&gt;"☑",INDEX(期間終了日,COLUMN()-1)&lt;基準日)</formula>
    </cfRule>
    <cfRule type="expression" priority="52" dxfId="129" stopIfTrue="1">
      <formula>B27="※"</formula>
    </cfRule>
  </conditionalFormatting>
  <conditionalFormatting sqref="B28:R28">
    <cfRule type="expression" priority="53" dxfId="130" stopIfTrue="1">
      <formula>LEFT(B28,1)="（"</formula>
    </cfRule>
    <cfRule type="expression" priority="54" dxfId="143">
      <formula>B28&lt;&gt;""</formula>
    </cfRule>
  </conditionalFormatting>
  <conditionalFormatting sqref="B30:R30">
    <cfRule type="expression" priority="55" dxfId="130" stopIfTrue="1">
      <formula>LEFT(B30,1)="（"</formula>
    </cfRule>
    <cfRule type="expression" priority="56" dxfId="132">
      <formula>B30&lt;&gt;""</formula>
    </cfRule>
  </conditionalFormatting>
  <conditionalFormatting sqref="B29:R29">
    <cfRule type="expression" priority="57" dxfId="133" stopIfTrue="1">
      <formula>B29="☑"</formula>
    </cfRule>
    <cfRule type="expression" priority="58" dxfId="128" stopIfTrue="1">
      <formula>AND(B29="☐",INDEX(期間終了日,COLUMN()-1)&lt;基準日)</formula>
    </cfRule>
  </conditionalFormatting>
  <conditionalFormatting sqref="B31:R31">
    <cfRule type="expression" priority="59" dxfId="133" stopIfTrue="1">
      <formula>B31="☑"</formula>
    </cfRule>
    <cfRule type="expression" priority="60" dxfId="128" stopIfTrue="1">
      <formula>AND(B31="☐",INDEX(期間終了日,COLUMN()-1)&lt;基準日)</formula>
    </cfRule>
  </conditionalFormatting>
  <conditionalFormatting sqref="V26:Z31">
    <cfRule type="expression" priority="61" dxfId="142" stopIfTrue="1">
      <formula>LEFT(V26,1)="☑"</formula>
    </cfRule>
    <cfRule type="expression" priority="62" dxfId="144">
      <formula>V26&lt;&gt;""</formula>
    </cfRule>
  </conditionalFormatting>
  <conditionalFormatting sqref="S26">
    <cfRule type="expression" priority="63" dxfId="135" stopIfTrue="1">
      <formula>ISNUMBER(SEARCH("遅れ",$S$26))</formula>
    </cfRule>
  </conditionalFormatting>
  <conditionalFormatting sqref="S27">
    <cfRule type="dataBar" priority="64">
      <dataBar>
        <cfvo type="num" val="0"/>
        <cfvo type="num" val="1"/>
        <color rgb="0078A0DC"/>
      </dataBar>
    </cfRule>
  </conditionalFormatting>
  <conditionalFormatting sqref="B32:R32">
    <cfRule type="expression" priority="65" dxfId="145">
      <formula>B32&lt;&gt;""</formula>
    </cfRule>
  </conditionalFormatting>
  <conditionalFormatting sqref="B33:R33">
    <cfRule type="expression" priority="66" dxfId="145" stopIfTrue="1">
      <formula>LEFT(B33,1)="☑"</formula>
    </cfRule>
    <cfRule type="expression" priority="67" dxfId="128" stopIfTrue="1">
      <formula>AND(B33&lt;&gt;"",B33&lt;&gt;"※",LEFT(B33,1)&lt;&gt;"☑",INDEX(期間終了日,COLUMN()-1)&lt;基準日)</formula>
    </cfRule>
    <cfRule type="expression" priority="68" dxfId="129" stopIfTrue="1">
      <formula>B33="※"</formula>
    </cfRule>
  </conditionalFormatting>
  <conditionalFormatting sqref="B34:R34">
    <cfRule type="expression" priority="69" dxfId="130" stopIfTrue="1">
      <formula>LEFT(B34,1)="（"</formula>
    </cfRule>
    <cfRule type="expression" priority="70" dxfId="146">
      <formula>B34&lt;&gt;""</formula>
    </cfRule>
  </conditionalFormatting>
  <conditionalFormatting sqref="B36:R36">
    <cfRule type="expression" priority="71" dxfId="130" stopIfTrue="1">
      <formula>LEFT(B36,1)="（"</formula>
    </cfRule>
    <cfRule type="expression" priority="72" dxfId="132">
      <formula>B36&lt;&gt;""</formula>
    </cfRule>
  </conditionalFormatting>
  <conditionalFormatting sqref="B35:R35">
    <cfRule type="expression" priority="73" dxfId="133" stopIfTrue="1">
      <formula>B35="☑"</formula>
    </cfRule>
    <cfRule type="expression" priority="74" dxfId="128" stopIfTrue="1">
      <formula>AND(B35="☐",INDEX(期間終了日,COLUMN()-1)&lt;基準日)</formula>
    </cfRule>
  </conditionalFormatting>
  <conditionalFormatting sqref="B37:R37">
    <cfRule type="expression" priority="75" dxfId="133" stopIfTrue="1">
      <formula>B37="☑"</formula>
    </cfRule>
    <cfRule type="expression" priority="76" dxfId="128" stopIfTrue="1">
      <formula>AND(B37="☐",INDEX(期間終了日,COLUMN()-1)&lt;基準日)</formula>
    </cfRule>
  </conditionalFormatting>
  <conditionalFormatting sqref="V32:Z37">
    <cfRule type="expression" priority="77" dxfId="145" stopIfTrue="1">
      <formula>LEFT(V32,1)="☑"</formula>
    </cfRule>
    <cfRule type="expression" priority="78" dxfId="147">
      <formula>V32&lt;&gt;""</formula>
    </cfRule>
  </conditionalFormatting>
  <conditionalFormatting sqref="S32">
    <cfRule type="expression" priority="79" dxfId="135" stopIfTrue="1">
      <formula>ISNUMBER(SEARCH("遅れ",$S$32))</formula>
    </cfRule>
  </conditionalFormatting>
  <conditionalFormatting sqref="S33">
    <cfRule type="dataBar" priority="80">
      <dataBar>
        <cfvo type="num" val="0"/>
        <cfvo type="num" val="1"/>
        <color rgb="0078A0DC"/>
      </dataBar>
    </cfRule>
  </conditionalFormatting>
  <conditionalFormatting sqref="B38:R38">
    <cfRule type="expression" priority="81" dxfId="148">
      <formula>B38&lt;&gt;""</formula>
    </cfRule>
  </conditionalFormatting>
  <conditionalFormatting sqref="B39:R39">
    <cfRule type="expression" priority="82" dxfId="148" stopIfTrue="1">
      <formula>LEFT(B39,1)="☑"</formula>
    </cfRule>
    <cfRule type="expression" priority="83" dxfId="128" stopIfTrue="1">
      <formula>AND(B39&lt;&gt;"",B39&lt;&gt;"※",LEFT(B39,1)&lt;&gt;"☑",INDEX(期間終了日,COLUMN()-1)&lt;基準日)</formula>
    </cfRule>
    <cfRule type="expression" priority="84" dxfId="129" stopIfTrue="1">
      <formula>B39="※"</formula>
    </cfRule>
  </conditionalFormatting>
  <conditionalFormatting sqref="B40:R40">
    <cfRule type="expression" priority="85" dxfId="130" stopIfTrue="1">
      <formula>LEFT(B40,1)="（"</formula>
    </cfRule>
    <cfRule type="expression" priority="86" dxfId="149">
      <formula>B40&lt;&gt;""</formula>
    </cfRule>
  </conditionalFormatting>
  <conditionalFormatting sqref="B42:R42">
    <cfRule type="expression" priority="87" dxfId="130" stopIfTrue="1">
      <formula>LEFT(B42,1)="（"</formula>
    </cfRule>
    <cfRule type="expression" priority="88" dxfId="132">
      <formula>B42&lt;&gt;""</formula>
    </cfRule>
  </conditionalFormatting>
  <conditionalFormatting sqref="B41:R41">
    <cfRule type="expression" priority="89" dxfId="133" stopIfTrue="1">
      <formula>B41="☑"</formula>
    </cfRule>
    <cfRule type="expression" priority="90" dxfId="128" stopIfTrue="1">
      <formula>AND(B41="☐",INDEX(期間終了日,COLUMN()-1)&lt;基準日)</formula>
    </cfRule>
  </conditionalFormatting>
  <conditionalFormatting sqref="B43:R43">
    <cfRule type="expression" priority="91" dxfId="133" stopIfTrue="1">
      <formula>B43="☑"</formula>
    </cfRule>
    <cfRule type="expression" priority="92" dxfId="128" stopIfTrue="1">
      <formula>AND(B43="☐",INDEX(期間終了日,COLUMN()-1)&lt;基準日)</formula>
    </cfRule>
  </conditionalFormatting>
  <conditionalFormatting sqref="V38:Z43">
    <cfRule type="expression" priority="93" dxfId="148" stopIfTrue="1">
      <formula>LEFT(V38,1)="☑"</formula>
    </cfRule>
    <cfRule type="expression" priority="94" dxfId="150">
      <formula>V38&lt;&gt;""</formula>
    </cfRule>
  </conditionalFormatting>
  <conditionalFormatting sqref="S38">
    <cfRule type="expression" priority="95" dxfId="135" stopIfTrue="1">
      <formula>ISNUMBER(SEARCH("遅れ",$S$38))</formula>
    </cfRule>
  </conditionalFormatting>
  <conditionalFormatting sqref="S39">
    <cfRule type="dataBar" priority="96">
      <dataBar>
        <cfvo type="num" val="0"/>
        <cfvo type="num" val="1"/>
        <color rgb="0078A0DC"/>
      </dataBar>
    </cfRule>
  </conditionalFormatting>
  <conditionalFormatting sqref="B44:R44">
    <cfRule type="expression" priority="97" dxfId="151">
      <formula>B44&lt;&gt;""</formula>
    </cfRule>
  </conditionalFormatting>
  <conditionalFormatting sqref="B45:R45">
    <cfRule type="expression" priority="98" dxfId="151" stopIfTrue="1">
      <formula>LEFT(B45,1)="☑"</formula>
    </cfRule>
    <cfRule type="expression" priority="99" dxfId="128" stopIfTrue="1">
      <formula>AND(B45&lt;&gt;"",B45&lt;&gt;"※",LEFT(B45,1)&lt;&gt;"☑",INDEX(期間終了日,COLUMN()-1)&lt;基準日)</formula>
    </cfRule>
    <cfRule type="expression" priority="100" dxfId="129" stopIfTrue="1">
      <formula>B45="※"</formula>
    </cfRule>
  </conditionalFormatting>
  <conditionalFormatting sqref="B46:R46">
    <cfRule type="expression" priority="101" dxfId="130" stopIfTrue="1">
      <formula>LEFT(B46,1)="（"</formula>
    </cfRule>
    <cfRule type="expression" priority="102" dxfId="152">
      <formula>B46&lt;&gt;""</formula>
    </cfRule>
  </conditionalFormatting>
  <conditionalFormatting sqref="B48:R48">
    <cfRule type="expression" priority="103" dxfId="130" stopIfTrue="1">
      <formula>LEFT(B48,1)="（"</formula>
    </cfRule>
    <cfRule type="expression" priority="104" dxfId="132">
      <formula>B48&lt;&gt;""</formula>
    </cfRule>
  </conditionalFormatting>
  <conditionalFormatting sqref="B47:R47">
    <cfRule type="expression" priority="105" dxfId="133" stopIfTrue="1">
      <formula>B47="☑"</formula>
    </cfRule>
    <cfRule type="expression" priority="106" dxfId="128" stopIfTrue="1">
      <formula>AND(B47="☐",INDEX(期間終了日,COLUMN()-1)&lt;基準日)</formula>
    </cfRule>
  </conditionalFormatting>
  <conditionalFormatting sqref="B49:R49">
    <cfRule type="expression" priority="107" dxfId="133" stopIfTrue="1">
      <formula>B49="☑"</formula>
    </cfRule>
    <cfRule type="expression" priority="108" dxfId="128" stopIfTrue="1">
      <formula>AND(B49="☐",INDEX(期間終了日,COLUMN()-1)&lt;基準日)</formula>
    </cfRule>
  </conditionalFormatting>
  <conditionalFormatting sqref="V44:Z49">
    <cfRule type="expression" priority="109" dxfId="151" stopIfTrue="1">
      <formula>LEFT(V44,1)="☑"</formula>
    </cfRule>
    <cfRule type="expression" priority="110" dxfId="153">
      <formula>V44&lt;&gt;""</formula>
    </cfRule>
  </conditionalFormatting>
  <conditionalFormatting sqref="S44">
    <cfRule type="expression" priority="111" dxfId="135" stopIfTrue="1">
      <formula>ISNUMBER(SEARCH("遅れ",$S$44))</formula>
    </cfRule>
  </conditionalFormatting>
  <conditionalFormatting sqref="S45">
    <cfRule type="dataBar" priority="112">
      <dataBar>
        <cfvo type="num" val="0"/>
        <cfvo type="num" val="1"/>
        <color rgb="0078A0DC"/>
      </dataBar>
    </cfRule>
  </conditionalFormatting>
  <conditionalFormatting sqref="B50:R50">
    <cfRule type="expression" priority="113" dxfId="154">
      <formula>B50&lt;&gt;""</formula>
    </cfRule>
  </conditionalFormatting>
  <conditionalFormatting sqref="B51:R51">
    <cfRule type="expression" priority="114" dxfId="154" stopIfTrue="1">
      <formula>LEFT(B51,1)="☑"</formula>
    </cfRule>
    <cfRule type="expression" priority="115" dxfId="128" stopIfTrue="1">
      <formula>AND(B51&lt;&gt;"",B51&lt;&gt;"※",LEFT(B51,1)&lt;&gt;"☑",INDEX(期間終了日,COLUMN()-1)&lt;基準日)</formula>
    </cfRule>
    <cfRule type="expression" priority="116" dxfId="129" stopIfTrue="1">
      <formula>B51="※"</formula>
    </cfRule>
  </conditionalFormatting>
  <conditionalFormatting sqref="B52:R52">
    <cfRule type="expression" priority="117" dxfId="130" stopIfTrue="1">
      <formula>LEFT(B52,1)="（"</formula>
    </cfRule>
    <cfRule type="expression" priority="118" dxfId="155">
      <formula>B52&lt;&gt;""</formula>
    </cfRule>
  </conditionalFormatting>
  <conditionalFormatting sqref="B54:R54">
    <cfRule type="expression" priority="119" dxfId="130" stopIfTrue="1">
      <formula>LEFT(B54,1)="（"</formula>
    </cfRule>
    <cfRule type="expression" priority="120" dxfId="132">
      <formula>B54&lt;&gt;""</formula>
    </cfRule>
  </conditionalFormatting>
  <conditionalFormatting sqref="B53:R53">
    <cfRule type="expression" priority="121" dxfId="133" stopIfTrue="1">
      <formula>B53="☑"</formula>
    </cfRule>
    <cfRule type="expression" priority="122" dxfId="128" stopIfTrue="1">
      <formula>AND(B53="☐",INDEX(期間終了日,COLUMN()-1)&lt;基準日)</formula>
    </cfRule>
  </conditionalFormatting>
  <conditionalFormatting sqref="B55:R55">
    <cfRule type="expression" priority="123" dxfId="133" stopIfTrue="1">
      <formula>B55="☑"</formula>
    </cfRule>
    <cfRule type="expression" priority="124" dxfId="128" stopIfTrue="1">
      <formula>AND(B55="☐",INDEX(期間終了日,COLUMN()-1)&lt;基準日)</formula>
    </cfRule>
  </conditionalFormatting>
  <conditionalFormatting sqref="V50:Z55">
    <cfRule type="expression" priority="125" dxfId="154" stopIfTrue="1">
      <formula>LEFT(V50,1)="☑"</formula>
    </cfRule>
    <cfRule type="expression" priority="126" dxfId="156">
      <formula>V50&lt;&gt;""</formula>
    </cfRule>
  </conditionalFormatting>
  <conditionalFormatting sqref="S50">
    <cfRule type="expression" priority="127" dxfId="135" stopIfTrue="1">
      <formula>ISNUMBER(SEARCH("遅れ",$S$50))</formula>
    </cfRule>
  </conditionalFormatting>
  <conditionalFormatting sqref="S51">
    <cfRule type="dataBar" priority="128">
      <dataBar>
        <cfvo type="num" val="0"/>
        <cfvo type="num" val="1"/>
        <color rgb="0078A0DC"/>
      </dataBar>
    </cfRule>
  </conditionalFormatting>
  <conditionalFormatting sqref="B56:R56">
    <cfRule type="expression" priority="129" dxfId="157">
      <formula>B56&lt;&gt;""</formula>
    </cfRule>
  </conditionalFormatting>
  <conditionalFormatting sqref="B57:R57">
    <cfRule type="expression" priority="130" dxfId="157" stopIfTrue="1">
      <formula>LEFT(B57,1)="☑"</formula>
    </cfRule>
    <cfRule type="expression" priority="131" dxfId="128" stopIfTrue="1">
      <formula>AND(B57&lt;&gt;"",B57&lt;&gt;"※",LEFT(B57,1)&lt;&gt;"☑",INDEX(期間終了日,COLUMN()-1)&lt;基準日)</formula>
    </cfRule>
    <cfRule type="expression" priority="132" dxfId="129" stopIfTrue="1">
      <formula>B57="※"</formula>
    </cfRule>
  </conditionalFormatting>
  <conditionalFormatting sqref="B58:R58">
    <cfRule type="expression" priority="133" dxfId="130" stopIfTrue="1">
      <formula>LEFT(B58,1)="（"</formula>
    </cfRule>
    <cfRule type="expression" priority="134" dxfId="158">
      <formula>B58&lt;&gt;""</formula>
    </cfRule>
  </conditionalFormatting>
  <conditionalFormatting sqref="B60:R60">
    <cfRule type="expression" priority="135" dxfId="130" stopIfTrue="1">
      <formula>LEFT(B60,1)="（"</formula>
    </cfRule>
    <cfRule type="expression" priority="136" dxfId="132">
      <formula>B60&lt;&gt;""</formula>
    </cfRule>
  </conditionalFormatting>
  <conditionalFormatting sqref="B59:R59">
    <cfRule type="expression" priority="137" dxfId="133" stopIfTrue="1">
      <formula>B59="☑"</formula>
    </cfRule>
    <cfRule type="expression" priority="138" dxfId="128" stopIfTrue="1">
      <formula>AND(B59="☐",INDEX(期間終了日,COLUMN()-1)&lt;基準日)</formula>
    </cfRule>
  </conditionalFormatting>
  <conditionalFormatting sqref="B61:R61">
    <cfRule type="expression" priority="139" dxfId="133" stopIfTrue="1">
      <formula>B61="☑"</formula>
    </cfRule>
    <cfRule type="expression" priority="140" dxfId="128" stopIfTrue="1">
      <formula>AND(B61="☐",INDEX(期間終了日,COLUMN()-1)&lt;基準日)</formula>
    </cfRule>
  </conditionalFormatting>
  <conditionalFormatting sqref="V56:Z61">
    <cfRule type="expression" priority="141" dxfId="157" stopIfTrue="1">
      <formula>LEFT(V56,1)="☑"</formula>
    </cfRule>
    <cfRule type="expression" priority="142" dxfId="159">
      <formula>V56&lt;&gt;""</formula>
    </cfRule>
  </conditionalFormatting>
  <conditionalFormatting sqref="S56">
    <cfRule type="expression" priority="143" dxfId="135" stopIfTrue="1">
      <formula>ISNUMBER(SEARCH("遅れ",$S$56))</formula>
    </cfRule>
  </conditionalFormatting>
  <conditionalFormatting sqref="S57">
    <cfRule type="dataBar" priority="144">
      <dataBar>
        <cfvo type="num" val="0"/>
        <cfvo type="num" val="1"/>
        <color rgb="0078A0DC"/>
      </dataBar>
    </cfRule>
  </conditionalFormatting>
  <conditionalFormatting sqref="B62:R62">
    <cfRule type="expression" priority="145" dxfId="160">
      <formula>B62&lt;&gt;""</formula>
    </cfRule>
  </conditionalFormatting>
  <conditionalFormatting sqref="B63:R63">
    <cfRule type="expression" priority="146" dxfId="160" stopIfTrue="1">
      <formula>LEFT(B63,1)="☑"</formula>
    </cfRule>
    <cfRule type="expression" priority="147" dxfId="128" stopIfTrue="1">
      <formula>AND(B63&lt;&gt;"",B63&lt;&gt;"※",LEFT(B63,1)&lt;&gt;"☑",INDEX(期間終了日,COLUMN()-1)&lt;基準日)</formula>
    </cfRule>
    <cfRule type="expression" priority="148" dxfId="129" stopIfTrue="1">
      <formula>B63="※"</formula>
    </cfRule>
  </conditionalFormatting>
  <conditionalFormatting sqref="B64:R64">
    <cfRule type="expression" priority="149" dxfId="130" stopIfTrue="1">
      <formula>LEFT(B64,1)="（"</formula>
    </cfRule>
    <cfRule type="expression" priority="150" dxfId="161">
      <formula>B64&lt;&gt;""</formula>
    </cfRule>
  </conditionalFormatting>
  <conditionalFormatting sqref="B66:R66">
    <cfRule type="expression" priority="151" dxfId="130" stopIfTrue="1">
      <formula>LEFT(B66,1)="（"</formula>
    </cfRule>
    <cfRule type="expression" priority="152" dxfId="132">
      <formula>B66&lt;&gt;""</formula>
    </cfRule>
  </conditionalFormatting>
  <conditionalFormatting sqref="B65:R65">
    <cfRule type="expression" priority="153" dxfId="133" stopIfTrue="1">
      <formula>B65="☑"</formula>
    </cfRule>
    <cfRule type="expression" priority="154" dxfId="128" stopIfTrue="1">
      <formula>AND(B65="☐",INDEX(期間終了日,COLUMN()-1)&lt;基準日)</formula>
    </cfRule>
  </conditionalFormatting>
  <conditionalFormatting sqref="B67:R67">
    <cfRule type="expression" priority="155" dxfId="133" stopIfTrue="1">
      <formula>B67="☑"</formula>
    </cfRule>
    <cfRule type="expression" priority="156" dxfId="128" stopIfTrue="1">
      <formula>AND(B67="☐",INDEX(期間終了日,COLUMN()-1)&lt;基準日)</formula>
    </cfRule>
  </conditionalFormatting>
  <conditionalFormatting sqref="V62:Z67">
    <cfRule type="expression" priority="157" dxfId="160" stopIfTrue="1">
      <formula>LEFT(V62,1)="☑"</formula>
    </cfRule>
    <cfRule type="expression" priority="158" dxfId="162">
      <formula>V62&lt;&gt;""</formula>
    </cfRule>
  </conditionalFormatting>
  <conditionalFormatting sqref="S62">
    <cfRule type="expression" priority="159" dxfId="135" stopIfTrue="1">
      <formula>ISNUMBER(SEARCH("遅れ",$S$62))</formula>
    </cfRule>
  </conditionalFormatting>
  <conditionalFormatting sqref="S63">
    <cfRule type="dataBar" priority="160">
      <dataBar>
        <cfvo type="num" val="0"/>
        <cfvo type="num" val="1"/>
        <color rgb="0078A0DC"/>
      </dataBar>
    </cfRule>
  </conditionalFormatting>
  <conditionalFormatting sqref="B68:R68">
    <cfRule type="expression" priority="161" dxfId="163">
      <formula>B68&lt;&gt;""</formula>
    </cfRule>
  </conditionalFormatting>
  <conditionalFormatting sqref="B69:R69">
    <cfRule type="expression" priority="162" dxfId="163" stopIfTrue="1">
      <formula>LEFT(B69,1)="☑"</formula>
    </cfRule>
    <cfRule type="expression" priority="163" dxfId="128" stopIfTrue="1">
      <formula>AND(B69&lt;&gt;"",B69&lt;&gt;"※",LEFT(B69,1)&lt;&gt;"☑",INDEX(期間終了日,COLUMN()-1)&lt;基準日)</formula>
    </cfRule>
    <cfRule type="expression" priority="164" dxfId="129" stopIfTrue="1">
      <formula>B69="※"</formula>
    </cfRule>
  </conditionalFormatting>
  <conditionalFormatting sqref="B70:R70">
    <cfRule type="expression" priority="165" dxfId="130" stopIfTrue="1">
      <formula>LEFT(B70,1)="（"</formula>
    </cfRule>
    <cfRule type="expression" priority="166" dxfId="164">
      <formula>B70&lt;&gt;""</formula>
    </cfRule>
  </conditionalFormatting>
  <conditionalFormatting sqref="B72:R72">
    <cfRule type="expression" priority="167" dxfId="130" stopIfTrue="1">
      <formula>LEFT(B72,1)="（"</formula>
    </cfRule>
    <cfRule type="expression" priority="168" dxfId="132">
      <formula>B72&lt;&gt;""</formula>
    </cfRule>
  </conditionalFormatting>
  <conditionalFormatting sqref="B71:R71">
    <cfRule type="expression" priority="169" dxfId="133" stopIfTrue="1">
      <formula>B71="☑"</formula>
    </cfRule>
    <cfRule type="expression" priority="170" dxfId="128" stopIfTrue="1">
      <formula>AND(B71="☐",INDEX(期間終了日,COLUMN()-1)&lt;基準日)</formula>
    </cfRule>
  </conditionalFormatting>
  <conditionalFormatting sqref="B73:R73">
    <cfRule type="expression" priority="171" dxfId="133" stopIfTrue="1">
      <formula>B73="☑"</formula>
    </cfRule>
    <cfRule type="expression" priority="172" dxfId="128" stopIfTrue="1">
      <formula>AND(B73="☐",INDEX(期間終了日,COLUMN()-1)&lt;基準日)</formula>
    </cfRule>
  </conditionalFormatting>
  <conditionalFormatting sqref="V68:Z73">
    <cfRule type="expression" priority="173" dxfId="163" stopIfTrue="1">
      <formula>LEFT(V68,1)="☑"</formula>
    </cfRule>
    <cfRule type="expression" priority="174" dxfId="165">
      <formula>V68&lt;&gt;""</formula>
    </cfRule>
  </conditionalFormatting>
  <conditionalFormatting sqref="S68">
    <cfRule type="expression" priority="175" dxfId="135" stopIfTrue="1">
      <formula>ISNUMBER(SEARCH("遅れ",$S$68))</formula>
    </cfRule>
  </conditionalFormatting>
  <conditionalFormatting sqref="S69">
    <cfRule type="dataBar" priority="176">
      <dataBar>
        <cfvo type="num" val="0"/>
        <cfvo type="num" val="1"/>
        <color rgb="0078A0DC"/>
      </dataBar>
    </cfRule>
  </conditionalFormatting>
  <conditionalFormatting sqref="B74:R74">
    <cfRule type="expression" priority="177" dxfId="166">
      <formula>B74&lt;&gt;""</formula>
    </cfRule>
  </conditionalFormatting>
  <conditionalFormatting sqref="B75:R75">
    <cfRule type="expression" priority="178" dxfId="166" stopIfTrue="1">
      <formula>LEFT(B75,1)="☑"</formula>
    </cfRule>
    <cfRule type="expression" priority="179" dxfId="128" stopIfTrue="1">
      <formula>AND(B75&lt;&gt;"",B75&lt;&gt;"※",LEFT(B75,1)&lt;&gt;"☑",INDEX(期間終了日,COLUMN()-1)&lt;基準日)</formula>
    </cfRule>
    <cfRule type="expression" priority="180" dxfId="129" stopIfTrue="1">
      <formula>B75="※"</formula>
    </cfRule>
  </conditionalFormatting>
  <conditionalFormatting sqref="B76:R76">
    <cfRule type="expression" priority="181" dxfId="130" stopIfTrue="1">
      <formula>LEFT(B76,1)="（"</formula>
    </cfRule>
    <cfRule type="expression" priority="182" dxfId="167">
      <formula>B76&lt;&gt;""</formula>
    </cfRule>
  </conditionalFormatting>
  <conditionalFormatting sqref="B78:R78">
    <cfRule type="expression" priority="183" dxfId="130" stopIfTrue="1">
      <formula>LEFT(B78,1)="（"</formula>
    </cfRule>
    <cfRule type="expression" priority="184" dxfId="132">
      <formula>B78&lt;&gt;""</formula>
    </cfRule>
  </conditionalFormatting>
  <conditionalFormatting sqref="B77:R77">
    <cfRule type="expression" priority="185" dxfId="133" stopIfTrue="1">
      <formula>B77="☑"</formula>
    </cfRule>
    <cfRule type="expression" priority="186" dxfId="128" stopIfTrue="1">
      <formula>AND(B77="☐",INDEX(期間終了日,COLUMN()-1)&lt;基準日)</formula>
    </cfRule>
  </conditionalFormatting>
  <conditionalFormatting sqref="B79:R79">
    <cfRule type="expression" priority="187" dxfId="133" stopIfTrue="1">
      <formula>B79="☑"</formula>
    </cfRule>
    <cfRule type="expression" priority="188" dxfId="128" stopIfTrue="1">
      <formula>AND(B79="☐",INDEX(期間終了日,COLUMN()-1)&lt;基準日)</formula>
    </cfRule>
  </conditionalFormatting>
  <conditionalFormatting sqref="V74:Z79">
    <cfRule type="expression" priority="189" dxfId="166" stopIfTrue="1">
      <formula>LEFT(V74,1)="☑"</formula>
    </cfRule>
    <cfRule type="expression" priority="190" dxfId="168">
      <formula>V74&lt;&gt;""</formula>
    </cfRule>
  </conditionalFormatting>
  <conditionalFormatting sqref="S74">
    <cfRule type="expression" priority="191" dxfId="135" stopIfTrue="1">
      <formula>ISNUMBER(SEARCH("遅れ",$S$74))</formula>
    </cfRule>
  </conditionalFormatting>
  <conditionalFormatting sqref="S75">
    <cfRule type="dataBar" priority="192">
      <dataBar>
        <cfvo type="num" val="0"/>
        <cfvo type="num" val="1"/>
        <color rgb="0078A0DC"/>
      </dataBar>
    </cfRule>
  </conditionalFormatting>
  <dataValidations count="1">
    <dataValidation sqref="U8:U79" showDropDown="0" showInputMessage="0" showErrorMessage="0" allowBlank="1" type="list">
      <formula1>"✓"</formula1>
    </dataValidation>
  </dataValidations>
  <printOptions horizontalCentered="1" verticalCentered="1"/>
  <pageMargins left="0.3149606299212599" right="0.3149606299212599" top="0.2755905511811023" bottom="0.2362204724409449" header="0" footer="0"/>
  <pageSetup orientation="landscape" paperSize="8" scale="85" fitToHeight="1" fitToWidth="1"/>
  <drawing r:id="rIdBtn"/>
</worksheet>
</file>

<file path=xl/worksheets/sheet4.xml><?xml version="1.0" encoding="utf-8"?>
<worksheet xmlns="http://schemas.openxmlformats.org/spreadsheetml/2006/main">
  <sheetPr codeName="shHandout">
    <tabColor rgb="005CAC4A"/>
    <outlinePr summaryBelow="1" summaryRight="1"/>
    <pageSetUpPr fitToPage="1"/>
  </sheetPr>
  <dimension ref="A1:S43"/>
  <sheetViews>
    <sheetView showGridLines="0" tabSelected="0" workbookViewId="0">
      <selection activeCell="A1" sqref="A1"/>
    </sheetView>
  </sheetViews>
  <sheetFormatPr baseColWidth="8" defaultRowHeight="15"/>
  <cols>
    <col width="10" customWidth="1" style="466" min="1" max="1"/>
    <col width="8.5" customWidth="1" style="466" min="2" max="2"/>
    <col width="9.800000000000001" customWidth="1" style="466" min="3" max="3"/>
    <col width="9.800000000000001" customWidth="1" style="466" min="4" max="4"/>
    <col width="9.800000000000001" customWidth="1" style="466" min="5" max="5"/>
    <col width="9.800000000000001" customWidth="1" style="466" min="6" max="6"/>
    <col width="9.800000000000001" customWidth="1" style="466" min="7" max="7"/>
    <col width="9.800000000000001" customWidth="1" style="466" min="8" max="8"/>
    <col width="9.800000000000001" customWidth="1" style="466" min="9" max="9"/>
    <col width="9.800000000000001" customWidth="1" style="466" min="10" max="10"/>
    <col width="9.800000000000001" customWidth="1" style="466" min="11" max="11"/>
    <col width="9.800000000000001" customWidth="1" style="466" min="12" max="12"/>
    <col width="9.800000000000001" customWidth="1" style="466" min="13" max="13"/>
    <col width="9.800000000000001" customWidth="1" style="466" min="14" max="14"/>
    <col width="9.800000000000001" customWidth="1" style="466" min="15" max="15"/>
    <col width="9.800000000000001" customWidth="1" style="466" min="16" max="16"/>
    <col width="9.800000000000001" customWidth="1" style="466" min="17" max="17"/>
    <col width="9.800000000000001" customWidth="1" style="466" min="18" max="18"/>
    <col width="9.800000000000001" customWidth="1" style="466" min="19" max="19"/>
  </cols>
  <sheetData>
    <row r="1" ht="26" customHeight="1" s="466">
      <c r="A1" s="668" t="inlineStr">
        <is>
          <t>合格一貫カリキュラム</t>
        </is>
      </c>
      <c r="E1" s="669">
        <f>"氏名　"&amp;IF(kName="","　　　　　　",kName)&amp;"　さん"</f>
        <v/>
      </c>
      <c r="F1" s="670" t="n"/>
      <c r="G1" s="670" t="n"/>
      <c r="H1" s="670" t="n"/>
      <c r="I1" s="670" t="n"/>
      <c r="J1" s="670" t="n"/>
      <c r="K1" s="669">
        <f>"第1志望　"&amp;IF(kSchool1="","（未入力）",kSchool1)</f>
        <v/>
      </c>
      <c r="L1" s="670" t="n"/>
      <c r="M1" s="670" t="n"/>
      <c r="N1" s="670" t="n"/>
      <c r="O1" s="670" t="n"/>
      <c r="P1" s="670" t="n"/>
      <c r="Q1" s="670" t="n"/>
      <c r="R1" s="670" t="n"/>
      <c r="S1" s="670" t="n"/>
    </row>
    <row r="2" ht="20" customHeight="1" s="466">
      <c r="E2" s="671">
        <f>IF(kHighschool="","",kHighschool&amp;"　")&amp;kGrade</f>
        <v/>
      </c>
      <c r="F2" s="670" t="n"/>
      <c r="G2" s="670" t="n"/>
      <c r="H2" s="670" t="n"/>
      <c r="I2" s="670" t="n"/>
      <c r="J2" s="670" t="n"/>
      <c r="K2" s="671">
        <f>IF(kSchool2="","","第2志望　"&amp;kSchool2&amp;"　")&amp;IF(kSchool3="","","第3志望　"&amp;kSchool3)</f>
        <v/>
      </c>
      <c r="L2" s="670" t="n"/>
      <c r="M2" s="670" t="n"/>
      <c r="N2" s="670" t="n"/>
      <c r="O2" s="670" t="n"/>
      <c r="P2" s="670" t="n"/>
      <c r="Q2" s="670" t="n"/>
      <c r="R2" s="670" t="n"/>
      <c r="S2" s="670" t="n"/>
    </row>
    <row r="3" ht="22" customHeight="1" s="466">
      <c r="A3" s="672" t="inlineStr">
        <is>
          <t>国公立大（文系）・難関レベル　｜　個別試験：英語・数学・現代文・古文・漢文・日本史　｜　共通テスト：英語・数学・現代文・古文・漢文・日本史・化学基礎・生物基礎・公共・政経・情報Ⅰ</t>
        </is>
      </c>
    </row>
    <row r="4" ht="13" customHeight="1" s="466">
      <c r="C4" s="516" t="inlineStr">
        <is>
          <t>◀ 高2 ▶</t>
        </is>
      </c>
      <c r="F4" s="517" t="inlineStr">
        <is>
          <t>◀ 高3 ▶</t>
        </is>
      </c>
    </row>
    <row r="5" ht="24" customHeight="1" s="466">
      <c r="A5" s="673" t="inlineStr">
        <is>
          <t>学習目的</t>
        </is>
      </c>
      <c r="C5" s="674" t="inlineStr">
        <is>
          <t>入試基礎力を強化する</t>
        </is>
      </c>
      <c r="L5" s="675" t="inlineStr">
        <is>
          <t>入試基礎力を完成させる</t>
        </is>
      </c>
      <c r="N5" s="676" t="inlineStr">
        <is>
          <t>合格得点力を養成する（共通テスト対策スタート）</t>
        </is>
      </c>
      <c r="R5" s="677" t="inlineStr">
        <is>
          <t>合格得点力を完成させる</t>
        </is>
      </c>
    </row>
    <row r="6" ht="18" customHeight="1" s="466">
      <c r="A6" s="678" t="inlineStr">
        <is>
          <t>科目</t>
        </is>
      </c>
      <c r="C6" s="679" t="inlineStr">
        <is>
          <t>1月</t>
        </is>
      </c>
      <c r="D6" s="679" t="inlineStr">
        <is>
          <t>2月</t>
        </is>
      </c>
      <c r="E6" s="679" t="inlineStr">
        <is>
          <t>3月</t>
        </is>
      </c>
      <c r="F6" s="680" t="inlineStr">
        <is>
          <t>春期講習</t>
        </is>
      </c>
      <c r="G6" s="679" t="inlineStr">
        <is>
          <t>4月</t>
        </is>
      </c>
      <c r="H6" s="679" t="inlineStr">
        <is>
          <t>5月</t>
        </is>
      </c>
      <c r="I6" s="679" t="inlineStr">
        <is>
          <t>6月</t>
        </is>
      </c>
      <c r="J6" s="679" t="inlineStr">
        <is>
          <t>7月</t>
        </is>
      </c>
      <c r="K6" s="679" t="inlineStr">
        <is>
          <t>8月</t>
        </is>
      </c>
      <c r="L6" s="680" t="inlineStr">
        <is>
          <t>夏期Ⅰ期</t>
        </is>
      </c>
      <c r="M6" s="680" t="inlineStr">
        <is>
          <t>夏期Ⅱ期</t>
        </is>
      </c>
      <c r="N6" s="679" t="inlineStr">
        <is>
          <t>9月</t>
        </is>
      </c>
      <c r="O6" s="679" t="inlineStr">
        <is>
          <t>10月</t>
        </is>
      </c>
      <c r="P6" s="679" t="inlineStr">
        <is>
          <t>11月</t>
        </is>
      </c>
      <c r="Q6" s="679" t="inlineStr">
        <is>
          <t>12月</t>
        </is>
      </c>
      <c r="R6" s="680" t="inlineStr">
        <is>
          <t>直前Ⅰ期</t>
        </is>
      </c>
      <c r="S6" s="680" t="inlineStr">
        <is>
          <t>直前Ⅱ期</t>
        </is>
      </c>
    </row>
    <row r="7" ht="20" customHeight="1" s="466">
      <c r="A7" s="681" t="inlineStr">
        <is>
          <t>英語</t>
        </is>
      </c>
      <c r="B7" s="682" t="inlineStr">
        <is>
          <t>映像講座</t>
        </is>
      </c>
      <c r="C7" s="683" t="n"/>
      <c r="D7" s="684" t="inlineStr">
        <is>
          <t>G3EK　難関国公立大英語</t>
        </is>
      </c>
      <c r="E7" s="685" t="n"/>
      <c r="F7" s="685" t="n"/>
      <c r="G7" s="685" t="n"/>
      <c r="H7" s="685" t="n"/>
      <c r="I7" s="685" t="n"/>
      <c r="J7" s="685" t="n"/>
      <c r="K7" s="686" t="n"/>
      <c r="L7" s="684" t="inlineStr">
        <is>
          <t>NG3EK</t>
        </is>
      </c>
      <c r="M7" s="686" t="n"/>
      <c r="N7" s="687" t="inlineStr">
        <is>
          <t>G3EK　難関国公立大英語</t>
        </is>
      </c>
      <c r="O7" s="685" t="n"/>
      <c r="P7" s="685" t="n"/>
      <c r="Q7" s="686" t="n"/>
      <c r="R7" s="684" t="inlineStr">
        <is>
          <t>FG3EK</t>
        </is>
      </c>
      <c r="S7" s="686" t="n"/>
    </row>
    <row r="8" ht="14" customHeight="1" s="466">
      <c r="A8" s="688" t="n"/>
      <c r="B8" s="682" t="inlineStr">
        <is>
          <t>受講回</t>
        </is>
      </c>
      <c r="C8" s="683" t="n"/>
      <c r="D8" s="689" t="inlineStr">
        <is>
          <t>練成1</t>
        </is>
      </c>
      <c r="E8" s="689" t="inlineStr">
        <is>
          <t>練成2</t>
        </is>
      </c>
      <c r="F8" s="689" t="inlineStr">
        <is>
          <t>練成3</t>
        </is>
      </c>
      <c r="G8" s="689" t="inlineStr">
        <is>
          <t>練成4</t>
        </is>
      </c>
      <c r="H8" s="689" t="inlineStr">
        <is>
          <t>練成5</t>
        </is>
      </c>
      <c r="I8" s="689" t="inlineStr">
        <is>
          <t>練成6</t>
        </is>
      </c>
      <c r="J8" s="689" t="inlineStr">
        <is>
          <t>練成7</t>
        </is>
      </c>
      <c r="K8" s="689" t="inlineStr">
        <is>
          <t>練成8</t>
        </is>
      </c>
      <c r="L8" s="689" t="inlineStr">
        <is>
          <t>夏期1</t>
        </is>
      </c>
      <c r="M8" s="683" t="n"/>
      <c r="N8" s="690" t="inlineStr">
        <is>
          <t>実戦1</t>
        </is>
      </c>
      <c r="O8" s="689" t="inlineStr">
        <is>
          <t>実戦2</t>
        </is>
      </c>
      <c r="P8" s="689" t="inlineStr">
        <is>
          <t>実戦3</t>
        </is>
      </c>
      <c r="Q8" s="689" t="inlineStr">
        <is>
          <t>実戦4</t>
        </is>
      </c>
      <c r="R8" s="689" t="inlineStr">
        <is>
          <t>直前1</t>
        </is>
      </c>
      <c r="S8" s="683" t="n"/>
    </row>
    <row r="9" ht="18" customHeight="1" s="466">
      <c r="A9" s="688" t="n"/>
      <c r="B9" s="682" t="inlineStr">
        <is>
          <t>塾の教材</t>
        </is>
      </c>
      <c r="C9" s="691" t="inlineStr">
        <is>
          <t>英文法・語法 Vintage</t>
        </is>
      </c>
      <c r="D9" s="692" t="n"/>
      <c r="E9" s="692" t="n"/>
      <c r="F9" s="693" t="n"/>
      <c r="G9" s="691" t="inlineStr">
        <is>
          <t>ポレポレ英文読解プロセス50（精読・和訳）</t>
        </is>
      </c>
      <c r="H9" s="692" t="n"/>
      <c r="I9" s="692" t="n"/>
      <c r="J9" s="692" t="n"/>
      <c r="K9" s="692" t="n"/>
      <c r="L9" s="692" t="n"/>
      <c r="M9" s="693" t="n"/>
      <c r="N9" s="694" t="inlineStr">
        <is>
          <t>やっておきたい英語長文500（内容説明・要約）</t>
        </is>
      </c>
      <c r="O9" s="692" t="n"/>
      <c r="P9" s="692" t="n"/>
      <c r="Q9" s="693" t="n"/>
      <c r="R9" s="691" t="inlineStr">
        <is>
          <t>一橋大学過去問</t>
        </is>
      </c>
      <c r="S9" s="693" t="n"/>
    </row>
    <row r="10" ht="18" customHeight="1" s="466">
      <c r="A10" s="688" t="n"/>
      <c r="B10" s="682" t="inlineStr">
        <is>
          <t>家庭学習</t>
        </is>
      </c>
      <c r="C10" s="695" t="inlineStr">
        <is>
          <t>ターゲット1900（毎週テスト）</t>
        </is>
      </c>
      <c r="D10" s="696" t="n"/>
      <c r="E10" s="696" t="n"/>
      <c r="F10" s="697" t="n"/>
      <c r="G10" s="695" t="inlineStr">
        <is>
          <t>ターゲット1900＋ドラゴン・イングリッシュ基本英文100</t>
        </is>
      </c>
      <c r="H10" s="696" t="n"/>
      <c r="I10" s="696" t="n"/>
      <c r="J10" s="696" t="n"/>
      <c r="K10" s="696" t="n"/>
      <c r="L10" s="696" t="n"/>
      <c r="M10" s="697" t="n"/>
      <c r="N10" s="698" t="inlineStr">
        <is>
          <t>ターゲット1900仕上げ＋共通テスト過去問</t>
        </is>
      </c>
      <c r="O10" s="696" t="n"/>
      <c r="P10" s="696" t="n"/>
      <c r="Q10" s="697" t="n"/>
      <c r="R10" s="695" t="inlineStr">
        <is>
          <t>一橋大学過去問</t>
        </is>
      </c>
      <c r="S10" s="697" t="n"/>
    </row>
    <row r="11" ht="18" customHeight="1" s="466">
      <c r="A11" s="699" t="n"/>
      <c r="B11" s="700" t="inlineStr">
        <is>
          <t>共通テスト</t>
        </is>
      </c>
      <c r="C11" s="701" t="n"/>
      <c r="D11" s="701" t="n"/>
      <c r="E11" s="701" t="n"/>
      <c r="F11" s="701" t="n"/>
      <c r="G11" s="701" t="n"/>
      <c r="H11" s="701" t="n"/>
      <c r="I11" s="701" t="n"/>
      <c r="J11" s="701" t="n"/>
      <c r="K11" s="701" t="n"/>
      <c r="L11" s="701" t="n"/>
      <c r="M11" s="701" t="n"/>
      <c r="N11" s="702" t="inlineStr">
        <is>
          <t>G3EQ　学研 共通テスト 英語：練成1・2 → 練成3・4 → 実戦1 → 実戦2</t>
        </is>
      </c>
      <c r="O11" s="703" t="n"/>
      <c r="P11" s="703" t="n"/>
      <c r="Q11" s="704" t="n"/>
      <c r="R11" s="701" t="n"/>
      <c r="S11" s="701" t="n"/>
    </row>
    <row r="12" ht="20" customHeight="1" s="466">
      <c r="A12" s="705" t="inlineStr">
        <is>
          <t>数学</t>
        </is>
      </c>
      <c r="B12" s="706" t="inlineStr">
        <is>
          <t>映像講座</t>
        </is>
      </c>
      <c r="C12" s="683" t="n"/>
      <c r="D12" s="707" t="inlineStr">
        <is>
          <t>3NN　難関大数学ⅠA・ⅡB・C</t>
        </is>
      </c>
      <c r="E12" s="708" t="n"/>
      <c r="F12" s="708" t="n"/>
      <c r="G12" s="708" t="n"/>
      <c r="H12" s="708" t="n"/>
      <c r="I12" s="708" t="n"/>
      <c r="J12" s="708" t="n"/>
      <c r="K12" s="709" t="n"/>
      <c r="L12" s="707" t="inlineStr">
        <is>
          <t>N3NN</t>
        </is>
      </c>
      <c r="M12" s="709" t="n"/>
      <c r="N12" s="710" t="inlineStr">
        <is>
          <t>3NN　難関大数学ⅠA・ⅡB・C</t>
        </is>
      </c>
      <c r="O12" s="708" t="n"/>
      <c r="P12" s="708" t="n"/>
      <c r="Q12" s="709" t="n"/>
      <c r="R12" s="707" t="inlineStr">
        <is>
          <t>F3NN</t>
        </is>
      </c>
      <c r="S12" s="709" t="n"/>
    </row>
    <row r="13" ht="14" customHeight="1" s="466">
      <c r="A13" s="711" t="n"/>
      <c r="B13" s="706" t="inlineStr">
        <is>
          <t>受講回</t>
        </is>
      </c>
      <c r="C13" s="683" t="n"/>
      <c r="D13" s="712" t="inlineStr">
        <is>
          <t>練成1</t>
        </is>
      </c>
      <c r="E13" s="712" t="inlineStr">
        <is>
          <t>練成2</t>
        </is>
      </c>
      <c r="F13" s="712" t="inlineStr">
        <is>
          <t>練成3・4</t>
        </is>
      </c>
      <c r="G13" s="712" t="inlineStr">
        <is>
          <t>練成5</t>
        </is>
      </c>
      <c r="H13" s="712" t="inlineStr">
        <is>
          <t>練成6</t>
        </is>
      </c>
      <c r="I13" s="712" t="inlineStr">
        <is>
          <t>練成7</t>
        </is>
      </c>
      <c r="J13" s="712" t="inlineStr">
        <is>
          <t>練成8</t>
        </is>
      </c>
      <c r="K13" s="712" t="inlineStr">
        <is>
          <t>練成9・10</t>
        </is>
      </c>
      <c r="L13" s="712" t="inlineStr">
        <is>
          <t>夏期1</t>
        </is>
      </c>
      <c r="M13" s="712" t="inlineStr">
        <is>
          <t>夏期2</t>
        </is>
      </c>
      <c r="N13" s="713" t="inlineStr">
        <is>
          <t>実戦1</t>
        </is>
      </c>
      <c r="O13" s="712" t="inlineStr">
        <is>
          <t>実戦2</t>
        </is>
      </c>
      <c r="P13" s="712" t="inlineStr">
        <is>
          <t>実戦3</t>
        </is>
      </c>
      <c r="Q13" s="712" t="inlineStr">
        <is>
          <t>実戦4</t>
        </is>
      </c>
      <c r="R13" s="712" t="inlineStr">
        <is>
          <t>直前1</t>
        </is>
      </c>
      <c r="S13" s="712" t="inlineStr">
        <is>
          <t>直前2</t>
        </is>
      </c>
    </row>
    <row r="14" ht="18" customHeight="1" s="466">
      <c r="A14" s="711" t="n"/>
      <c r="B14" s="706" t="inlineStr">
        <is>
          <t>塾の教材</t>
        </is>
      </c>
      <c r="C14" s="714" t="inlineStr">
        <is>
          <t>青チャート ⅠA・ⅡBC（例題★3まで）</t>
        </is>
      </c>
      <c r="D14" s="715" t="n"/>
      <c r="E14" s="715" t="n"/>
      <c r="F14" s="715" t="n"/>
      <c r="G14" s="715" t="n"/>
      <c r="H14" s="715" t="n"/>
      <c r="I14" s="715" t="n"/>
      <c r="J14" s="715" t="n"/>
      <c r="K14" s="716" t="n"/>
      <c r="L14" s="714" t="inlineStr">
        <is>
          <t>青チャート総復習</t>
        </is>
      </c>
      <c r="M14" s="716" t="n"/>
      <c r="N14" s="717" t="inlineStr">
        <is>
          <t>文系数学の良問プラチカ</t>
        </is>
      </c>
      <c r="O14" s="715" t="n"/>
      <c r="P14" s="715" t="n"/>
      <c r="Q14" s="716" t="n"/>
      <c r="R14" s="714" t="inlineStr">
        <is>
          <t>一橋大学過去問</t>
        </is>
      </c>
      <c r="S14" s="716" t="n"/>
    </row>
    <row r="15" ht="18" customHeight="1" s="466">
      <c r="A15" s="711" t="n"/>
      <c r="B15" s="706" t="inlineStr">
        <is>
          <t>家庭学習</t>
        </is>
      </c>
      <c r="C15" s="695" t="inlineStr">
        <is>
          <t>入試数学の基礎問題精講 ⅠA・ⅡBC（1冊10周）</t>
        </is>
      </c>
      <c r="D15" s="696" t="n"/>
      <c r="E15" s="696" t="n"/>
      <c r="F15" s="696" t="n"/>
      <c r="G15" s="696" t="n"/>
      <c r="H15" s="696" t="n"/>
      <c r="I15" s="696" t="n"/>
      <c r="J15" s="696" t="n"/>
      <c r="K15" s="696" t="n"/>
      <c r="L15" s="696" t="n"/>
      <c r="M15" s="697" t="n"/>
      <c r="N15" s="698" t="inlineStr">
        <is>
          <t>基礎問題精講の反復＋共通テスト過去問</t>
        </is>
      </c>
      <c r="O15" s="696" t="n"/>
      <c r="P15" s="696" t="n"/>
      <c r="Q15" s="697" t="n"/>
      <c r="R15" s="695" t="inlineStr">
        <is>
          <t>一橋大学過去問</t>
        </is>
      </c>
      <c r="S15" s="697" t="n"/>
    </row>
    <row r="16" ht="18" customHeight="1" s="466">
      <c r="A16" s="711" t="n"/>
      <c r="B16" s="706" t="inlineStr">
        <is>
          <t>共通テスト</t>
        </is>
      </c>
      <c r="C16" s="683" t="n"/>
      <c r="D16" s="683" t="n"/>
      <c r="E16" s="683" t="n"/>
      <c r="F16" s="683" t="n"/>
      <c r="G16" s="683" t="n"/>
      <c r="H16" s="683" t="n"/>
      <c r="I16" s="683" t="n"/>
      <c r="J16" s="683" t="n"/>
      <c r="K16" s="683" t="n"/>
      <c r="L16" s="683" t="n"/>
      <c r="M16" s="683" t="n"/>
      <c r="N16" s="718" t="inlineStr">
        <is>
          <t>G3M1Q　学研 共通テスト 数学Ⅰ・A：練成1 → 練成2 → 実戦1 → 実戦2</t>
        </is>
      </c>
      <c r="O16" s="719" t="n"/>
      <c r="P16" s="719" t="n"/>
      <c r="Q16" s="720" t="n"/>
      <c r="R16" s="683" t="n"/>
      <c r="S16" s="683" t="n"/>
    </row>
    <row r="17" ht="18" customHeight="1" s="466">
      <c r="A17" s="721" t="n"/>
      <c r="B17" s="722" t="inlineStr">
        <is>
          <t>共通テスト</t>
        </is>
      </c>
      <c r="C17" s="701" t="n"/>
      <c r="D17" s="701" t="n"/>
      <c r="E17" s="701" t="n"/>
      <c r="F17" s="701" t="n"/>
      <c r="G17" s="701" t="n"/>
      <c r="H17" s="701" t="n"/>
      <c r="I17" s="701" t="n"/>
      <c r="J17" s="701" t="n"/>
      <c r="K17" s="701" t="n"/>
      <c r="L17" s="701" t="n"/>
      <c r="M17" s="701" t="n"/>
      <c r="N17" s="723" t="inlineStr">
        <is>
          <t>G3M2Q　学研 共通テスト 数学Ⅱ・B・C：練成1 → 練成2・3 → 実戦1 → 実戦2</t>
        </is>
      </c>
      <c r="O17" s="724" t="n"/>
      <c r="P17" s="724" t="n"/>
      <c r="Q17" s="725" t="n"/>
      <c r="R17" s="701" t="n"/>
      <c r="S17" s="701" t="n"/>
    </row>
    <row r="18" ht="20" customHeight="1" s="466">
      <c r="A18" s="726" t="inlineStr">
        <is>
          <t>現代文</t>
        </is>
      </c>
      <c r="B18" s="727" t="inlineStr">
        <is>
          <t>映像講座</t>
        </is>
      </c>
      <c r="C18" s="683" t="n"/>
      <c r="D18" s="728" t="inlineStr">
        <is>
          <t>G3LGK　難関国公立大現代文</t>
        </is>
      </c>
      <c r="E18" s="729" t="n"/>
      <c r="F18" s="729" t="n"/>
      <c r="G18" s="729" t="n"/>
      <c r="H18" s="729" t="n"/>
      <c r="I18" s="729" t="n"/>
      <c r="J18" s="729" t="n"/>
      <c r="K18" s="730" t="n"/>
      <c r="L18" s="728" t="inlineStr">
        <is>
          <t>NG3LGK</t>
        </is>
      </c>
      <c r="M18" s="730" t="n"/>
      <c r="N18" s="731" t="inlineStr">
        <is>
          <t>G3LGK　難関国公立大現代文</t>
        </is>
      </c>
      <c r="O18" s="729" t="n"/>
      <c r="P18" s="729" t="n"/>
      <c r="Q18" s="730" t="n"/>
      <c r="R18" s="728" t="inlineStr">
        <is>
          <t>FG3LGK</t>
        </is>
      </c>
      <c r="S18" s="730" t="n"/>
    </row>
    <row r="19" ht="14" customHeight="1" s="466">
      <c r="A19" s="732" t="n"/>
      <c r="B19" s="727" t="inlineStr">
        <is>
          <t>受講回</t>
        </is>
      </c>
      <c r="C19" s="683" t="n"/>
      <c r="D19" s="733" t="inlineStr">
        <is>
          <t>練成1</t>
        </is>
      </c>
      <c r="E19" s="733" t="inlineStr">
        <is>
          <t>練成2</t>
        </is>
      </c>
      <c r="F19" s="683" t="n"/>
      <c r="G19" s="683" t="n"/>
      <c r="H19" s="683" t="n"/>
      <c r="I19" s="683" t="n"/>
      <c r="J19" s="683" t="n"/>
      <c r="K19" s="683" t="n"/>
      <c r="L19" s="733" t="inlineStr">
        <is>
          <t>夏期1</t>
        </is>
      </c>
      <c r="M19" s="683" t="n"/>
      <c r="N19" s="734" t="inlineStr">
        <is>
          <t>実戦1</t>
        </is>
      </c>
      <c r="O19" s="733" t="inlineStr">
        <is>
          <t>実戦2</t>
        </is>
      </c>
      <c r="P19" s="683" t="n"/>
      <c r="Q19" s="683" t="n"/>
      <c r="R19" s="733" t="inlineStr">
        <is>
          <t>直前1</t>
        </is>
      </c>
      <c r="S19" s="683" t="n"/>
    </row>
    <row r="20" ht="18" customHeight="1" s="466">
      <c r="A20" s="732" t="n"/>
      <c r="B20" s="727" t="inlineStr">
        <is>
          <t>塾の教材</t>
        </is>
      </c>
      <c r="C20" s="735" t="inlineStr">
        <is>
          <t>高2範囲の総復習・診断</t>
        </is>
      </c>
      <c r="D20" s="683" t="n"/>
      <c r="E20" s="683" t="n"/>
      <c r="F20" s="683" t="n"/>
      <c r="G20" s="735" t="inlineStr">
        <is>
          <t>現代文と格闘する（記述答案づくり）</t>
        </is>
      </c>
      <c r="H20" s="736" t="n"/>
      <c r="I20" s="736" t="n"/>
      <c r="J20" s="736" t="n"/>
      <c r="K20" s="736" t="n"/>
      <c r="L20" s="736" t="n"/>
      <c r="M20" s="737" t="n"/>
      <c r="N20" s="738" t="n"/>
      <c r="O20" s="683" t="n"/>
      <c r="P20" s="683" t="n"/>
      <c r="Q20" s="683" t="n"/>
      <c r="R20" s="735" t="inlineStr">
        <is>
          <t>一橋大学過去問</t>
        </is>
      </c>
      <c r="S20" s="737" t="n"/>
    </row>
    <row r="21" ht="18" customHeight="1" s="466">
      <c r="A21" s="732" t="n"/>
      <c r="B21" s="727" t="inlineStr">
        <is>
          <t>家庭学習</t>
        </is>
      </c>
      <c r="C21" s="695" t="inlineStr">
        <is>
          <t>現代文キーワード読解（毎週）</t>
        </is>
      </c>
      <c r="D21" s="696" t="n"/>
      <c r="E21" s="696" t="n"/>
      <c r="F21" s="696" t="n"/>
      <c r="G21" s="696" t="n"/>
      <c r="H21" s="696" t="n"/>
      <c r="I21" s="696" t="n"/>
      <c r="J21" s="696" t="n"/>
      <c r="K21" s="696" t="n"/>
      <c r="L21" s="696" t="n"/>
      <c r="M21" s="697" t="n"/>
      <c r="N21" s="698" t="inlineStr">
        <is>
          <t>共通テスト過去問（現代文）</t>
        </is>
      </c>
      <c r="O21" s="696" t="n"/>
      <c r="P21" s="696" t="n"/>
      <c r="Q21" s="697" t="n"/>
      <c r="R21" s="695" t="inlineStr">
        <is>
          <t>一橋大学過去問</t>
        </is>
      </c>
      <c r="S21" s="697" t="n"/>
    </row>
    <row r="22" ht="18" customHeight="1" s="466">
      <c r="A22" s="739" t="n"/>
      <c r="B22" s="740" t="inlineStr">
        <is>
          <t>共通テスト</t>
        </is>
      </c>
      <c r="C22" s="701" t="n"/>
      <c r="D22" s="701" t="n"/>
      <c r="E22" s="701" t="n"/>
      <c r="F22" s="701" t="n"/>
      <c r="G22" s="701" t="n"/>
      <c r="H22" s="701" t="n"/>
      <c r="I22" s="701" t="n"/>
      <c r="J22" s="701" t="n"/>
      <c r="K22" s="701" t="n"/>
      <c r="L22" s="701" t="n"/>
      <c r="M22" s="701" t="n"/>
      <c r="N22" s="741" t="inlineStr">
        <is>
          <t>G3LGQ　学研 共通テスト 現代文：練成1 → 練成2 → 実戦1 → 実戦2</t>
        </is>
      </c>
      <c r="O22" s="742" t="n"/>
      <c r="P22" s="742" t="n"/>
      <c r="Q22" s="743" t="n"/>
      <c r="R22" s="701" t="n"/>
      <c r="S22" s="701" t="n"/>
    </row>
    <row r="23" ht="20" customHeight="1" s="466">
      <c r="A23" s="744" t="inlineStr">
        <is>
          <t>古文</t>
        </is>
      </c>
      <c r="B23" s="745" t="inlineStr">
        <is>
          <t>映像講座</t>
        </is>
      </c>
      <c r="C23" s="683" t="n"/>
      <c r="D23" s="746" t="inlineStr">
        <is>
          <t>G3LC　難関大古文ゼミ</t>
        </is>
      </c>
      <c r="E23" s="747" t="n"/>
      <c r="F23" s="747" t="n"/>
      <c r="G23" s="747" t="n"/>
      <c r="H23" s="747" t="n"/>
      <c r="I23" s="747" t="n"/>
      <c r="J23" s="747" t="n"/>
      <c r="K23" s="748" t="n"/>
      <c r="L23" s="746" t="inlineStr">
        <is>
          <t>NG3LC</t>
        </is>
      </c>
      <c r="M23" s="748" t="n"/>
      <c r="N23" s="749" t="inlineStr">
        <is>
          <t>G3LC　難関大古文ゼミ</t>
        </is>
      </c>
      <c r="O23" s="747" t="n"/>
      <c r="P23" s="747" t="n"/>
      <c r="Q23" s="748" t="n"/>
      <c r="R23" s="746" t="inlineStr">
        <is>
          <t>FG3LC</t>
        </is>
      </c>
      <c r="S23" s="748" t="n"/>
    </row>
    <row r="24" ht="14" customHeight="1" s="466">
      <c r="A24" s="750" t="n"/>
      <c r="B24" s="745" t="inlineStr">
        <is>
          <t>受講回</t>
        </is>
      </c>
      <c r="C24" s="683" t="n"/>
      <c r="D24" s="751" t="inlineStr">
        <is>
          <t>前期1</t>
        </is>
      </c>
      <c r="E24" s="751" t="inlineStr">
        <is>
          <t>前期2</t>
        </is>
      </c>
      <c r="F24" s="683" t="n"/>
      <c r="G24" s="683" t="n"/>
      <c r="H24" s="683" t="n"/>
      <c r="I24" s="683" t="n"/>
      <c r="J24" s="683" t="n"/>
      <c r="K24" s="683" t="n"/>
      <c r="L24" s="751" t="inlineStr">
        <is>
          <t>夏期1</t>
        </is>
      </c>
      <c r="M24" s="751" t="inlineStr">
        <is>
          <t>夏期2</t>
        </is>
      </c>
      <c r="N24" s="752" t="inlineStr">
        <is>
          <t>後期1</t>
        </is>
      </c>
      <c r="O24" s="751" t="inlineStr">
        <is>
          <t>後期2</t>
        </is>
      </c>
      <c r="P24" s="683" t="n"/>
      <c r="Q24" s="683" t="n"/>
      <c r="R24" s="751" t="inlineStr">
        <is>
          <t>直前1</t>
        </is>
      </c>
      <c r="S24" s="683" t="n"/>
    </row>
    <row r="25" ht="18" customHeight="1" s="466">
      <c r="A25" s="750" t="n"/>
      <c r="B25" s="745" t="inlineStr">
        <is>
          <t>塾の教材</t>
        </is>
      </c>
      <c r="C25" s="753" t="inlineStr">
        <is>
          <t>古文上達 基礎編 読解と演習45</t>
        </is>
      </c>
      <c r="D25" s="754" t="n"/>
      <c r="E25" s="754" t="n"/>
      <c r="F25" s="754" t="n"/>
      <c r="G25" s="754" t="n"/>
      <c r="H25" s="754" t="n"/>
      <c r="I25" s="754" t="n"/>
      <c r="J25" s="754" t="n"/>
      <c r="K25" s="755" t="n"/>
      <c r="L25" s="753" t="inlineStr">
        <is>
          <t>古文上達 復習</t>
        </is>
      </c>
      <c r="M25" s="755" t="n"/>
      <c r="N25" s="756" t="inlineStr">
        <is>
          <t>共通テスト・志望校過去問（古文）</t>
        </is>
      </c>
      <c r="O25" s="754" t="n"/>
      <c r="P25" s="754" t="n"/>
      <c r="Q25" s="755" t="n"/>
      <c r="R25" s="683" t="n"/>
      <c r="S25" s="683" t="n"/>
    </row>
    <row r="26" ht="18" customHeight="1" s="466">
      <c r="A26" s="750" t="n"/>
      <c r="B26" s="745" t="inlineStr">
        <is>
          <t>家庭学習</t>
        </is>
      </c>
      <c r="C26" s="695" t="inlineStr">
        <is>
          <t>重要古文単語315（1周目）</t>
        </is>
      </c>
      <c r="D26" s="696" t="n"/>
      <c r="E26" s="696" t="n"/>
      <c r="F26" s="696" t="n"/>
      <c r="G26" s="696" t="n"/>
      <c r="H26" s="696" t="n"/>
      <c r="I26" s="697" t="n"/>
      <c r="J26" s="695" t="inlineStr">
        <is>
          <t>重要古文単語315（毎日復習）</t>
        </is>
      </c>
      <c r="K26" s="696" t="n"/>
      <c r="L26" s="696" t="n"/>
      <c r="M26" s="697" t="n"/>
      <c r="N26" s="698" t="inlineStr">
        <is>
          <t>重要古文単語315（毎日復習・10周）</t>
        </is>
      </c>
      <c r="O26" s="696" t="n"/>
      <c r="P26" s="696" t="n"/>
      <c r="Q26" s="696" t="n"/>
      <c r="R26" s="696" t="n"/>
      <c r="S26" s="697" t="n"/>
    </row>
    <row r="27" ht="18" customHeight="1" s="466">
      <c r="A27" s="757" t="n"/>
      <c r="B27" s="758" t="inlineStr">
        <is>
          <t>共通テスト</t>
        </is>
      </c>
      <c r="C27" s="701" t="n"/>
      <c r="D27" s="701" t="n"/>
      <c r="E27" s="701" t="n"/>
      <c r="F27" s="701" t="n"/>
      <c r="G27" s="701" t="n"/>
      <c r="H27" s="701" t="n"/>
      <c r="I27" s="701" t="n"/>
      <c r="J27" s="701" t="n"/>
      <c r="K27" s="701" t="n"/>
      <c r="L27" s="701" t="n"/>
      <c r="M27" s="701" t="n"/>
      <c r="N27" s="759" t="inlineStr">
        <is>
          <t>G3LCQ　学研 共通テスト 古文：実戦1</t>
        </is>
      </c>
      <c r="O27" s="760" t="n"/>
      <c r="P27" s="760" t="n"/>
      <c r="Q27" s="761" t="n"/>
      <c r="R27" s="701" t="n"/>
      <c r="S27" s="701" t="n"/>
    </row>
    <row r="28" ht="20" customHeight="1" s="466">
      <c r="A28" s="762" t="inlineStr">
        <is>
          <t>漢文</t>
        </is>
      </c>
      <c r="B28" s="763" t="inlineStr">
        <is>
          <t>映像講座</t>
        </is>
      </c>
      <c r="C28" s="683" t="n"/>
      <c r="D28" s="764" t="inlineStr">
        <is>
          <t>G3LK　難関大漢文</t>
        </is>
      </c>
      <c r="E28" s="765" t="n"/>
      <c r="F28" s="765" t="n"/>
      <c r="G28" s="765" t="n"/>
      <c r="H28" s="765" t="n"/>
      <c r="I28" s="765" t="n"/>
      <c r="J28" s="765" t="n"/>
      <c r="K28" s="766" t="n"/>
      <c r="L28" s="683" t="n"/>
      <c r="M28" s="683" t="n"/>
      <c r="N28" s="767" t="inlineStr">
        <is>
          <t>G3LK　難関大漢文</t>
        </is>
      </c>
      <c r="O28" s="765" t="n"/>
      <c r="P28" s="765" t="n"/>
      <c r="Q28" s="766" t="n"/>
      <c r="R28" s="683" t="n"/>
      <c r="S28" s="683" t="n"/>
    </row>
    <row r="29" ht="14" customHeight="1" s="466">
      <c r="A29" s="768" t="n"/>
      <c r="B29" s="763" t="inlineStr">
        <is>
          <t>受講回</t>
        </is>
      </c>
      <c r="C29" s="683" t="n"/>
      <c r="D29" s="769" t="inlineStr">
        <is>
          <t>練成1</t>
        </is>
      </c>
      <c r="E29" s="683" t="n"/>
      <c r="F29" s="683" t="n"/>
      <c r="G29" s="683" t="n"/>
      <c r="H29" s="683" t="n"/>
      <c r="I29" s="683" t="n"/>
      <c r="J29" s="683" t="n"/>
      <c r="K29" s="683" t="n"/>
      <c r="L29" s="683" t="n"/>
      <c r="M29" s="683" t="n"/>
      <c r="N29" s="770" t="inlineStr">
        <is>
          <t>実戦1</t>
        </is>
      </c>
      <c r="O29" s="683" t="n"/>
      <c r="P29" s="683" t="n"/>
      <c r="Q29" s="683" t="n"/>
      <c r="R29" s="683" t="n"/>
      <c r="S29" s="683" t="n"/>
    </row>
    <row r="30" ht="18" customHeight="1" s="466">
      <c r="A30" s="768" t="n"/>
      <c r="B30" s="763" t="inlineStr">
        <is>
          <t>塾の教材</t>
        </is>
      </c>
      <c r="C30" s="771" t="inlineStr">
        <is>
          <t>漢文早覚え速答法</t>
        </is>
      </c>
      <c r="D30" s="772" t="n"/>
      <c r="E30" s="772" t="n"/>
      <c r="F30" s="773" t="n"/>
      <c r="G30" s="683" t="n"/>
      <c r="H30" s="683" t="n"/>
      <c r="I30" s="683" t="n"/>
      <c r="J30" s="683" t="n"/>
      <c r="K30" s="683" t="n"/>
      <c r="L30" s="683" t="n"/>
      <c r="M30" s="683" t="n"/>
      <c r="N30" s="774" t="inlineStr">
        <is>
          <t>共通テスト・志望校過去問（漢文）</t>
        </is>
      </c>
      <c r="O30" s="772" t="n"/>
      <c r="P30" s="772" t="n"/>
      <c r="Q30" s="772" t="n"/>
      <c r="R30" s="772" t="n"/>
      <c r="S30" s="773" t="n"/>
    </row>
    <row r="31" ht="18" customHeight="1" s="466">
      <c r="A31" s="768" t="n"/>
      <c r="B31" s="763" t="inlineStr">
        <is>
          <t>家庭学習</t>
        </is>
      </c>
      <c r="C31" s="683" t="n"/>
      <c r="D31" s="683" t="n"/>
      <c r="E31" s="683" t="n"/>
      <c r="F31" s="683" t="n"/>
      <c r="G31" s="695" t="inlineStr">
        <is>
          <t>漢文早覚え速答法（句法の復習）</t>
        </is>
      </c>
      <c r="H31" s="696" t="n"/>
      <c r="I31" s="696" t="n"/>
      <c r="J31" s="696" t="n"/>
      <c r="K31" s="696" t="n"/>
      <c r="L31" s="696" t="n"/>
      <c r="M31" s="697" t="n"/>
      <c r="N31" s="738" t="n"/>
      <c r="O31" s="683" t="n"/>
      <c r="P31" s="683" t="n"/>
      <c r="Q31" s="683" t="n"/>
      <c r="R31" s="683" t="n"/>
      <c r="S31" s="683" t="n"/>
    </row>
    <row r="32" ht="18" customHeight="1" s="466">
      <c r="A32" s="775" t="n"/>
      <c r="B32" s="776" t="inlineStr">
        <is>
          <t>共通テスト</t>
        </is>
      </c>
      <c r="C32" s="701" t="n"/>
      <c r="D32" s="701" t="n"/>
      <c r="E32" s="701" t="n"/>
      <c r="F32" s="701" t="n"/>
      <c r="G32" s="701" t="n"/>
      <c r="H32" s="701" t="n"/>
      <c r="I32" s="701" t="n"/>
      <c r="J32" s="701" t="n"/>
      <c r="K32" s="701" t="n"/>
      <c r="L32" s="701" t="n"/>
      <c r="M32" s="701" t="n"/>
      <c r="N32" s="777" t="inlineStr">
        <is>
          <t>G3LKQ　学研 共通テスト 漢文：練成1 → 実戦1</t>
        </is>
      </c>
      <c r="O32" s="778" t="n"/>
      <c r="P32" s="778" t="n"/>
      <c r="Q32" s="779" t="n"/>
      <c r="R32" s="701" t="n"/>
      <c r="S32" s="701" t="n"/>
    </row>
    <row r="33" ht="20" customHeight="1" s="466">
      <c r="A33" s="780" t="inlineStr">
        <is>
          <t>日本史</t>
        </is>
      </c>
      <c r="B33" s="781" t="inlineStr">
        <is>
          <t>映像講座</t>
        </is>
      </c>
      <c r="C33" s="683" t="n"/>
      <c r="D33" s="782" t="inlineStr">
        <is>
          <t>G3J　難関大日本史</t>
        </is>
      </c>
      <c r="E33" s="783" t="n"/>
      <c r="F33" s="783" t="n"/>
      <c r="G33" s="783" t="n"/>
      <c r="H33" s="783" t="n"/>
      <c r="I33" s="783" t="n"/>
      <c r="J33" s="783" t="n"/>
      <c r="K33" s="784" t="n"/>
      <c r="L33" s="782" t="inlineStr">
        <is>
          <t>NG3J</t>
        </is>
      </c>
      <c r="M33" s="784" t="n"/>
      <c r="N33" s="785" t="inlineStr">
        <is>
          <t>G3J　難関大日本史</t>
        </is>
      </c>
      <c r="O33" s="783" t="n"/>
      <c r="P33" s="783" t="n"/>
      <c r="Q33" s="784" t="n"/>
      <c r="R33" s="782" t="inlineStr">
        <is>
          <t>FG3J</t>
        </is>
      </c>
      <c r="S33" s="784" t="n"/>
    </row>
    <row r="34" ht="14" customHeight="1" s="466">
      <c r="A34" s="786" t="n"/>
      <c r="B34" s="781" t="inlineStr">
        <is>
          <t>受講回</t>
        </is>
      </c>
      <c r="C34" s="683" t="n"/>
      <c r="D34" s="787" t="inlineStr">
        <is>
          <t>練成1</t>
        </is>
      </c>
      <c r="E34" s="787" t="inlineStr">
        <is>
          <t>練成2</t>
        </is>
      </c>
      <c r="F34" s="787" t="inlineStr">
        <is>
          <t>練成3</t>
        </is>
      </c>
      <c r="G34" s="787" t="inlineStr">
        <is>
          <t>練成4</t>
        </is>
      </c>
      <c r="H34" s="787" t="inlineStr">
        <is>
          <t>練成5</t>
        </is>
      </c>
      <c r="I34" s="787" t="inlineStr">
        <is>
          <t>練成6</t>
        </is>
      </c>
      <c r="J34" s="787" t="inlineStr">
        <is>
          <t>練成7</t>
        </is>
      </c>
      <c r="K34" s="787" t="inlineStr">
        <is>
          <t>練成8</t>
        </is>
      </c>
      <c r="L34" s="787" t="inlineStr">
        <is>
          <t>夏期1</t>
        </is>
      </c>
      <c r="M34" s="787" t="inlineStr">
        <is>
          <t>夏期2</t>
        </is>
      </c>
      <c r="N34" s="788" t="inlineStr">
        <is>
          <t>実戦1</t>
        </is>
      </c>
      <c r="O34" s="787" t="inlineStr">
        <is>
          <t>実戦2</t>
        </is>
      </c>
      <c r="P34" s="787" t="inlineStr">
        <is>
          <t>実戦3</t>
        </is>
      </c>
      <c r="Q34" s="787" t="inlineStr">
        <is>
          <t>実戦4</t>
        </is>
      </c>
      <c r="R34" s="787" t="inlineStr">
        <is>
          <t>直前1</t>
        </is>
      </c>
      <c r="S34" s="683" t="n"/>
    </row>
    <row r="35" ht="18" customHeight="1" s="466">
      <c r="A35" s="786" t="n"/>
      <c r="B35" s="781" t="inlineStr">
        <is>
          <t>家庭学習</t>
        </is>
      </c>
      <c r="C35" s="695" t="inlineStr">
        <is>
          <t>日本史一問一答【完全版】（授業の復習・5周）</t>
        </is>
      </c>
      <c r="D35" s="696" t="n"/>
      <c r="E35" s="696" t="n"/>
      <c r="F35" s="696" t="n"/>
      <c r="G35" s="696" t="n"/>
      <c r="H35" s="696" t="n"/>
      <c r="I35" s="696" t="n"/>
      <c r="J35" s="696" t="n"/>
      <c r="K35" s="696" t="n"/>
      <c r="L35" s="696" t="n"/>
      <c r="M35" s="697" t="n"/>
      <c r="N35" s="698" t="inlineStr">
        <is>
          <t>日本史一問一答【完全版】＋共通テスト過去問</t>
        </is>
      </c>
      <c r="O35" s="696" t="n"/>
      <c r="P35" s="696" t="n"/>
      <c r="Q35" s="697" t="n"/>
      <c r="R35" s="695" t="inlineStr">
        <is>
          <t>一橋大学過去問</t>
        </is>
      </c>
      <c r="S35" s="697" t="n"/>
    </row>
    <row r="36" ht="18" customHeight="1" s="466">
      <c r="A36" s="789" t="n"/>
      <c r="B36" s="790" t="inlineStr">
        <is>
          <t>共通テスト</t>
        </is>
      </c>
      <c r="C36" s="701" t="n"/>
      <c r="D36" s="701" t="n"/>
      <c r="E36" s="701" t="n"/>
      <c r="F36" s="701" t="n"/>
      <c r="G36" s="701" t="n"/>
      <c r="H36" s="701" t="n"/>
      <c r="I36" s="701" t="n"/>
      <c r="J36" s="701" t="n"/>
      <c r="K36" s="701" t="n"/>
      <c r="L36" s="701" t="n"/>
      <c r="M36" s="701" t="n"/>
      <c r="N36" s="791" t="inlineStr">
        <is>
          <t>G3JQ　学研 共通テスト 日本史：実戦1 → 実戦2</t>
        </is>
      </c>
      <c r="O36" s="792" t="n"/>
      <c r="P36" s="792" t="n"/>
      <c r="Q36" s="793" t="n"/>
      <c r="R36" s="701" t="n"/>
      <c r="S36" s="701" t="n"/>
    </row>
    <row r="37" ht="18" customHeight="1" s="466">
      <c r="A37" s="794" t="inlineStr">
        <is>
          <t>化学</t>
        </is>
      </c>
      <c r="B37" s="795" t="inlineStr">
        <is>
          <t>共通テスト</t>
        </is>
      </c>
      <c r="C37" s="701" t="n"/>
      <c r="D37" s="701" t="n"/>
      <c r="E37" s="701" t="n"/>
      <c r="F37" s="701" t="n"/>
      <c r="G37" s="701" t="n"/>
      <c r="H37" s="701" t="n"/>
      <c r="I37" s="701" t="n"/>
      <c r="J37" s="701" t="n"/>
      <c r="K37" s="701" t="n"/>
      <c r="L37" s="701" t="n"/>
      <c r="M37" s="701" t="n"/>
      <c r="N37" s="796" t="inlineStr">
        <is>
          <t>G3CKQ　学研 共通テスト 化学基礎：実戦1</t>
        </is>
      </c>
      <c r="O37" s="797" t="n"/>
      <c r="P37" s="797" t="n"/>
      <c r="Q37" s="798" t="n"/>
      <c r="R37" s="701" t="n"/>
      <c r="S37" s="701" t="n"/>
    </row>
    <row r="38" ht="18" customHeight="1" s="466">
      <c r="A38" s="799" t="inlineStr">
        <is>
          <t>生物</t>
        </is>
      </c>
      <c r="B38" s="800" t="inlineStr">
        <is>
          <t>共通テスト</t>
        </is>
      </c>
      <c r="C38" s="701" t="n"/>
      <c r="D38" s="701" t="n"/>
      <c r="E38" s="701" t="n"/>
      <c r="F38" s="701" t="n"/>
      <c r="G38" s="701" t="n"/>
      <c r="H38" s="701" t="n"/>
      <c r="I38" s="701" t="n"/>
      <c r="J38" s="701" t="n"/>
      <c r="K38" s="701" t="n"/>
      <c r="L38" s="701" t="n"/>
      <c r="M38" s="701" t="n"/>
      <c r="N38" s="801" t="inlineStr">
        <is>
          <t>G3BKQ　学研 共通テスト 生物基礎：練成1 → 実戦1</t>
        </is>
      </c>
      <c r="O38" s="802" t="n"/>
      <c r="P38" s="802" t="n"/>
      <c r="Q38" s="803" t="n"/>
      <c r="R38" s="701" t="n"/>
      <c r="S38" s="701" t="n"/>
    </row>
    <row r="39" ht="18" customHeight="1" s="466">
      <c r="A39" s="804" t="inlineStr">
        <is>
          <t>公共・情報</t>
        </is>
      </c>
      <c r="B39" s="805" t="inlineStr">
        <is>
          <t>共通テスト</t>
        </is>
      </c>
      <c r="C39" s="683" t="n"/>
      <c r="D39" s="683" t="n"/>
      <c r="E39" s="683" t="n"/>
      <c r="F39" s="683" t="n"/>
      <c r="G39" s="683" t="n"/>
      <c r="H39" s="683" t="n"/>
      <c r="I39" s="683" t="n"/>
      <c r="J39" s="683" t="n"/>
      <c r="K39" s="683" t="n"/>
      <c r="L39" s="683" t="n"/>
      <c r="M39" s="683" t="n"/>
      <c r="N39" s="806" t="inlineStr">
        <is>
          <t>3PSQ　大学入学共通テスト 公共，政治経済：練成1 → 実戦1</t>
        </is>
      </c>
      <c r="O39" s="807" t="n"/>
      <c r="P39" s="807" t="n"/>
      <c r="Q39" s="808" t="n"/>
      <c r="R39" s="683" t="n"/>
      <c r="S39" s="683" t="n"/>
    </row>
    <row r="40" ht="18" customHeight="1" s="466">
      <c r="A40" s="809" t="n"/>
      <c r="B40" s="810" t="inlineStr">
        <is>
          <t>共通テスト</t>
        </is>
      </c>
      <c r="C40" s="701" t="n"/>
      <c r="D40" s="701" t="n"/>
      <c r="E40" s="701" t="n"/>
      <c r="F40" s="701" t="n"/>
      <c r="G40" s="701" t="n"/>
      <c r="H40" s="701" t="n"/>
      <c r="I40" s="701" t="n"/>
      <c r="J40" s="701" t="n"/>
      <c r="K40" s="701" t="n"/>
      <c r="L40" s="701" t="n"/>
      <c r="M40" s="701" t="n"/>
      <c r="N40" s="811" t="inlineStr">
        <is>
          <t>3IQ　大学入学共通テスト 情報Ⅰ：練成1 → 実戦1</t>
        </is>
      </c>
      <c r="O40" s="812" t="n"/>
      <c r="P40" s="812" t="n"/>
      <c r="Q40" s="813" t="n"/>
      <c r="R40" s="701" t="n"/>
      <c r="S40" s="701" t="n"/>
    </row>
    <row r="42">
      <c r="A42" s="814" t="inlineStr">
        <is>
          <t>※ 受講回・教材の進め方は目安です。学習の進み具合に合わせて講師が調整します。共通テスト対策は9月スタート。直前期は志望校の過去問演習が中心になります。</t>
        </is>
      </c>
    </row>
    <row r="43">
      <c r="A43" s="814" t="inlineStr">
        <is>
          <t>高校・大学受験専門 個人指導塾PLATZ ／ 〒373-0817 群馬県太田市飯塚町1417-1 ／ TEL 0276-55-4230 ／ 定休日：日・水</t>
        </is>
      </c>
      <c r="Q43" s="815">
        <f>"作成日："&amp;TEXT(基準日,"yyyy年m月d日")</f>
        <v/>
      </c>
    </row>
  </sheetData>
  <mergeCells count="89">
    <mergeCell ref="C15:M15"/>
    <mergeCell ref="G20:M20"/>
    <mergeCell ref="N27:Q27"/>
    <mergeCell ref="K2:S2"/>
    <mergeCell ref="L12:M12"/>
    <mergeCell ref="N36:Q36"/>
    <mergeCell ref="N11:Q11"/>
    <mergeCell ref="L5:M5"/>
    <mergeCell ref="L14:M14"/>
    <mergeCell ref="R12:S12"/>
    <mergeCell ref="N22:Q22"/>
    <mergeCell ref="N12:Q12"/>
    <mergeCell ref="C10:F10"/>
    <mergeCell ref="Q43:S43"/>
    <mergeCell ref="N5:Q5"/>
    <mergeCell ref="N14:Q14"/>
    <mergeCell ref="C5:K5"/>
    <mergeCell ref="C14:K14"/>
    <mergeCell ref="A3:S3"/>
    <mergeCell ref="R18:S18"/>
    <mergeCell ref="R33:S33"/>
    <mergeCell ref="N38:Q38"/>
    <mergeCell ref="E1:J1"/>
    <mergeCell ref="A18:A22"/>
    <mergeCell ref="L7:M7"/>
    <mergeCell ref="K1:S1"/>
    <mergeCell ref="F4:S4"/>
    <mergeCell ref="N40:Q40"/>
    <mergeCell ref="R10:S10"/>
    <mergeCell ref="E2:J2"/>
    <mergeCell ref="G9:M9"/>
    <mergeCell ref="N35:Q35"/>
    <mergeCell ref="C30:F30"/>
    <mergeCell ref="A28:A32"/>
    <mergeCell ref="N16:Q16"/>
    <mergeCell ref="N25:Q25"/>
    <mergeCell ref="A12:A17"/>
    <mergeCell ref="D7:K7"/>
    <mergeCell ref="N26:S26"/>
    <mergeCell ref="A7:A11"/>
    <mergeCell ref="D18:K18"/>
    <mergeCell ref="D33:K33"/>
    <mergeCell ref="N39:Q39"/>
    <mergeCell ref="A39:A40"/>
    <mergeCell ref="R14:S14"/>
    <mergeCell ref="R23:S23"/>
    <mergeCell ref="A42:S42"/>
    <mergeCell ref="N15:Q15"/>
    <mergeCell ref="A43:P43"/>
    <mergeCell ref="R7:S7"/>
    <mergeCell ref="L18:M18"/>
    <mergeCell ref="L33:M33"/>
    <mergeCell ref="N32:Q32"/>
    <mergeCell ref="N7:Q7"/>
    <mergeCell ref="R35:S35"/>
    <mergeCell ref="R20:S20"/>
    <mergeCell ref="C26:I26"/>
    <mergeCell ref="C21:M21"/>
    <mergeCell ref="A5:B5"/>
    <mergeCell ref="L25:M25"/>
    <mergeCell ref="G10:M10"/>
    <mergeCell ref="N18:Q18"/>
    <mergeCell ref="N33:Q33"/>
    <mergeCell ref="J26:M26"/>
    <mergeCell ref="N17:Q17"/>
    <mergeCell ref="C4:E4"/>
    <mergeCell ref="R9:S9"/>
    <mergeCell ref="R5:S5"/>
    <mergeCell ref="N10:Q10"/>
    <mergeCell ref="A1:D2"/>
    <mergeCell ref="N28:Q28"/>
    <mergeCell ref="C25:K25"/>
    <mergeCell ref="N9:Q9"/>
    <mergeCell ref="A23:A27"/>
    <mergeCell ref="A6:B6"/>
    <mergeCell ref="G31:M31"/>
    <mergeCell ref="C35:M35"/>
    <mergeCell ref="R15:S15"/>
    <mergeCell ref="L23:M23"/>
    <mergeCell ref="A33:A36"/>
    <mergeCell ref="R21:S21"/>
    <mergeCell ref="N30:S30"/>
    <mergeCell ref="N37:Q37"/>
    <mergeCell ref="N21:Q21"/>
    <mergeCell ref="D28:K28"/>
    <mergeCell ref="D12:K12"/>
    <mergeCell ref="C9:F9"/>
    <mergeCell ref="N23:Q23"/>
    <mergeCell ref="D23:K23"/>
  </mergeCells>
  <printOptions horizontalCentered="1"/>
  <pageMargins left="0.4" right="0.4" top="0.4" bottom="0.4" header="0.5" footer="0.5"/>
  <pageSetup orientation="landscape" paperSize="8" fitToHeight="1" fitToWidth="1"/>
</worksheet>
</file>

<file path=xl/worksheets/sheet5.xml><?xml version="1.0" encoding="utf-8"?>
<worksheet xmlns="http://schemas.openxmlformats.org/spreadsheetml/2006/main">
  <sheetPr codeName="shMock">
    <outlinePr summaryBelow="1" summaryRight="1"/>
    <pageSetUpPr fitToPage="1"/>
  </sheetPr>
  <dimension ref="A1:J42"/>
  <sheetViews>
    <sheetView showGridLines="0" tabSelected="0" workbookViewId="0">
      <selection activeCell="A1" sqref="A1"/>
    </sheetView>
  </sheetViews>
  <sheetFormatPr baseColWidth="8" defaultRowHeight="15"/>
  <cols>
    <col width="44.625" customWidth="1" style="466" min="1" max="1"/>
    <col width="11.625" customWidth="1" style="466" min="2" max="2"/>
    <col width="9.625" customWidth="1" style="466" min="3" max="3"/>
    <col width="9.625" customWidth="1" style="466" min="4" max="4"/>
    <col width="9.625" customWidth="1" style="466" min="5" max="5"/>
    <col width="9.625" customWidth="1" style="466" min="6" max="6"/>
    <col width="9.625" customWidth="1" style="466" min="7" max="7"/>
    <col width="9.625" customWidth="1" style="466" min="8" max="8"/>
    <col width="3.625" customWidth="1" style="466" min="9" max="9"/>
    <col width="9.625" customWidth="1" style="466" min="10" max="10"/>
    <col width="8.625" customWidth="1" style="466" min="11" max="11"/>
    <col width="8.625" customWidth="1" style="466" min="12" max="12"/>
    <col width="8.625" customWidth="1" style="466" min="13" max="13"/>
    <col width="8.625" customWidth="1" style="466" min="14" max="14"/>
    <col width="8.625" customWidth="1" style="466" min="15" max="15"/>
    <col width="8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21.6" customHeight="1" s="466">
      <c r="A1" s="354" t="inlineStr">
        <is>
          <t>模試の結果・自学教材の記録（黄色のセルに入力）</t>
        </is>
      </c>
    </row>
    <row r="2" ht="17.1" customHeight="1" s="466">
      <c r="A2" s="474" t="inlineStr">
        <is>
          <t>※ 目標（志望校）の総合はデータシート（志望校マスタ）から自動で入ります。教科別の目標は手入力</t>
        </is>
      </c>
    </row>
    <row r="3">
      <c r="A3" s="816" t="inlineStr">
        <is>
          <t>① 模試の結果（偏差値）　※ 古い順に上から入力</t>
        </is>
      </c>
      <c r="B3" s="500" t="n"/>
      <c r="C3" s="500" t="n"/>
      <c r="D3" s="500" t="n"/>
      <c r="E3" s="500" t="n"/>
      <c r="F3" s="500" t="n"/>
      <c r="G3" s="500" t="n"/>
      <c r="H3" s="502" t="n"/>
      <c r="J3" s="31" t="inlineStr">
        <is>
          <t>集計</t>
        </is>
      </c>
    </row>
    <row r="4">
      <c r="A4" s="372" t="inlineStr">
        <is>
          <t>模試名</t>
        </is>
      </c>
      <c r="B4" s="358" t="inlineStr">
        <is>
          <t>実施日</t>
        </is>
      </c>
      <c r="C4" s="358" t="inlineStr">
        <is>
          <t>英語</t>
        </is>
      </c>
      <c r="D4" s="358" t="inlineStr">
        <is>
          <t>数学</t>
        </is>
      </c>
      <c r="E4" s="358" t="inlineStr">
        <is>
          <t>国語</t>
        </is>
      </c>
      <c r="F4" s="358" t="inlineStr">
        <is>
          <t>地歴公民</t>
        </is>
      </c>
      <c r="G4" s="358" t="inlineStr">
        <is>
          <t>理科</t>
        </is>
      </c>
      <c r="H4" s="359" t="inlineStr">
        <is>
          <t>総合</t>
        </is>
      </c>
      <c r="J4" s="32" t="inlineStr">
        <is>
          <t>模試到達度</t>
        </is>
      </c>
    </row>
    <row r="5">
      <c r="A5" s="17" t="inlineStr">
        <is>
          <t>目標（志望校）</t>
        </is>
      </c>
      <c r="B5" s="10" t="n"/>
      <c r="C5" s="817" t="n"/>
      <c r="D5" s="817" t="n"/>
      <c r="E5" s="817" t="n"/>
      <c r="F5" s="817" t="n"/>
      <c r="G5" s="817" t="n"/>
      <c r="H5" s="818">
        <f>IF(kTarget="","",kTarget)</f>
        <v/>
      </c>
      <c r="J5" s="33">
        <f>IF(OR(H14="",H5="",H5&lt;=偏差値基準),"",MAX(0,MIN(1,(H14-偏差値基準)/(H5-偏差値基準))))</f>
        <v/>
      </c>
    </row>
    <row r="6">
      <c r="A6" s="18" t="n"/>
      <c r="B6" s="12" t="n"/>
      <c r="C6" s="819" t="n"/>
      <c r="D6" s="819" t="n"/>
      <c r="E6" s="819" t="n"/>
      <c r="F6" s="819" t="n"/>
      <c r="G6" s="819" t="n"/>
      <c r="H6" s="820" t="n"/>
      <c r="J6" s="34" t="inlineStr">
        <is>
          <t>自学進捗</t>
        </is>
      </c>
    </row>
    <row r="7">
      <c r="A7" s="18" t="n"/>
      <c r="B7" s="12" t="n"/>
      <c r="C7" s="819" t="n"/>
      <c r="D7" s="819" t="n"/>
      <c r="E7" s="819" t="n"/>
      <c r="F7" s="819" t="n"/>
      <c r="G7" s="819" t="n"/>
      <c r="H7" s="820" t="n"/>
      <c r="J7" s="33">
        <f>IFERROR(AVERAGE(E20:E29),"")</f>
        <v/>
      </c>
    </row>
    <row r="8">
      <c r="A8" s="18" t="n"/>
      <c r="B8" s="12" t="n"/>
      <c r="C8" s="819" t="n"/>
      <c r="D8" s="819" t="n"/>
      <c r="E8" s="819" t="n"/>
      <c r="F8" s="819" t="n"/>
      <c r="G8" s="819" t="n"/>
      <c r="H8" s="820" t="n"/>
    </row>
    <row r="9">
      <c r="A9" s="18" t="n"/>
      <c r="B9" s="12" t="n"/>
      <c r="C9" s="819" t="n"/>
      <c r="D9" s="819" t="n"/>
      <c r="E9" s="819" t="n"/>
      <c r="F9" s="819" t="n"/>
      <c r="G9" s="819" t="n"/>
      <c r="H9" s="820" t="n"/>
    </row>
    <row r="10">
      <c r="A10" s="18" t="n"/>
      <c r="B10" s="12" t="n"/>
      <c r="C10" s="819" t="n"/>
      <c r="D10" s="819" t="n"/>
      <c r="E10" s="819" t="n"/>
      <c r="F10" s="819" t="n"/>
      <c r="G10" s="819" t="n"/>
      <c r="H10" s="820" t="n"/>
    </row>
    <row r="11">
      <c r="A11" s="18" t="n"/>
      <c r="B11" s="12" t="n"/>
      <c r="C11" s="819" t="n"/>
      <c r="D11" s="819" t="n"/>
      <c r="E11" s="819" t="n"/>
      <c r="F11" s="819" t="n"/>
      <c r="G11" s="819" t="n"/>
      <c r="H11" s="820" t="n"/>
    </row>
    <row r="12">
      <c r="A12" s="18" t="n"/>
      <c r="B12" s="12" t="n"/>
      <c r="C12" s="819" t="n"/>
      <c r="D12" s="819" t="n"/>
      <c r="E12" s="819" t="n"/>
      <c r="F12" s="819" t="n"/>
      <c r="G12" s="819" t="n"/>
      <c r="H12" s="820" t="n"/>
    </row>
    <row r="13">
      <c r="A13" s="18" t="n"/>
      <c r="B13" s="12" t="n"/>
      <c r="C13" s="819" t="n"/>
      <c r="D13" s="819" t="n"/>
      <c r="E13" s="819" t="n"/>
      <c r="F13" s="819" t="n"/>
      <c r="G13" s="819" t="n"/>
      <c r="H13" s="820" t="n"/>
    </row>
    <row r="14">
      <c r="A14" s="372" t="inlineStr">
        <is>
          <t>最新</t>
        </is>
      </c>
      <c r="B14" s="14">
        <f>IFERROR(LOOKUP(2,1/($A$6:$A$13&lt;&gt;""),$B$6:$B$13),"")</f>
        <v/>
      </c>
      <c r="C14" s="821">
        <f>IFERROR(LOOKUP(2,1/(C$6:C$13&lt;&gt;""),C$6:C$13),"")</f>
        <v/>
      </c>
      <c r="D14" s="821">
        <f>IFERROR(LOOKUP(2,1/(D$6:D$13&lt;&gt;""),D$6:D$13),"")</f>
        <v/>
      </c>
      <c r="E14" s="821">
        <f>IFERROR(LOOKUP(2,1/(E$6:E$13&lt;&gt;""),E$6:E$13),"")</f>
        <v/>
      </c>
      <c r="F14" s="821">
        <f>IFERROR(LOOKUP(2,1/(F$6:F$13&lt;&gt;""),F$6:F$13),"")</f>
        <v/>
      </c>
      <c r="G14" s="821">
        <f>IFERROR(LOOKUP(2,1/(G$6:G$13&lt;&gt;""),G$6:G$13),"")</f>
        <v/>
      </c>
      <c r="H14" s="822">
        <f>IFERROR(LOOKUP(2,1/(H$6:H$13&lt;&gt;""),H$6:H$13),"")</f>
        <v/>
      </c>
    </row>
    <row r="15" ht="17.1" customHeight="1" s="466">
      <c r="A15" s="376" t="inlineStr">
        <is>
          <t>目標との差</t>
        </is>
      </c>
      <c r="B15" s="20" t="n"/>
      <c r="C15" s="823">
        <f>IF(OR(C14="",C5=""),"",C14-C5)</f>
        <v/>
      </c>
      <c r="D15" s="823">
        <f>IF(OR(D14="",D5=""),"",D14-D5)</f>
        <v/>
      </c>
      <c r="E15" s="823">
        <f>IF(OR(E14="",E5=""),"",E14-E5)</f>
        <v/>
      </c>
      <c r="F15" s="823">
        <f>IF(OR(F14="",F5=""),"",F14-F5)</f>
        <v/>
      </c>
      <c r="G15" s="823">
        <f>IF(OR(G14="",G5=""),"",G14-G5)</f>
        <v/>
      </c>
      <c r="H15" s="824">
        <f>IF(OR(H14="",H5=""),"",H14-H5)</f>
        <v/>
      </c>
    </row>
    <row r="16"/>
    <row r="17" ht="17.1" customHeight="1" s="466"/>
    <row r="18">
      <c r="A18" s="816" t="inlineStr">
        <is>
          <t>② 家庭学習推奨教材（全教科）　※ おすすめカリキュラムの反映で自動入力。『現在（周）』を毎回入力</t>
        </is>
      </c>
      <c r="B18" s="500" t="n"/>
      <c r="C18" s="500" t="n"/>
      <c r="D18" s="500" t="n"/>
      <c r="E18" s="500" t="n"/>
      <c r="F18" s="500" t="n"/>
      <c r="G18" s="500" t="n"/>
      <c r="H18" s="502" t="n"/>
    </row>
    <row r="19">
      <c r="A19" s="372" t="inlineStr">
        <is>
          <t>教材名</t>
        </is>
      </c>
      <c r="B19" s="358" t="inlineStr">
        <is>
          <t>科目</t>
        </is>
      </c>
      <c r="C19" s="358" t="inlineStr">
        <is>
          <t>目標（周）</t>
        </is>
      </c>
      <c r="D19" s="358" t="inlineStr">
        <is>
          <t>現在（周）</t>
        </is>
      </c>
      <c r="E19" s="358" t="inlineStr">
        <is>
          <t>進捗率</t>
        </is>
      </c>
      <c r="F19" s="358" t="inlineStr">
        <is>
          <t>使い方・時期（メモ）</t>
        </is>
      </c>
      <c r="G19" s="509" t="n"/>
      <c r="H19" s="510" t="n"/>
    </row>
    <row r="20">
      <c r="A20" s="87" t="inlineStr">
        <is>
          <t>英単語ターゲット1900（旺文社）</t>
        </is>
      </c>
      <c r="B20" s="27" t="inlineStr">
        <is>
          <t>英語</t>
        </is>
      </c>
      <c r="C20" s="27" t="n">
        <v>10</v>
      </c>
      <c r="D20" s="27" t="n"/>
      <c r="E20" s="28">
        <f>IF(OR(C20="",D20=""),"",MIN(1,D20/C20))</f>
        <v/>
      </c>
      <c r="F20" s="352" t="inlineStr">
        <is>
          <t>毎週チェックテスト（PLATZメソッド）。高2の1月から開始</t>
        </is>
      </c>
      <c r="G20" s="509" t="n"/>
      <c r="H20" s="510" t="n"/>
    </row>
    <row r="21">
      <c r="A21" s="88" t="inlineStr">
        <is>
          <t>ドラゴン・イングリッシュ基本英文100（講談社）</t>
        </is>
      </c>
      <c r="B21" s="27" t="inlineStr">
        <is>
          <t>英語</t>
        </is>
      </c>
      <c r="C21" s="27" t="n">
        <v>5</v>
      </c>
      <c r="D21" s="27" t="n"/>
      <c r="E21" s="28">
        <f>IF(OR(C21="",D21=""),"",MIN(1,D21/C21))</f>
        <v/>
      </c>
      <c r="F21" s="352" t="inlineStr">
        <is>
          <t>英作文用の例文を暗唱（4月〜）</t>
        </is>
      </c>
      <c r="G21" s="509" t="n"/>
      <c r="H21" s="510" t="n"/>
    </row>
    <row r="22">
      <c r="A22" s="88" t="inlineStr">
        <is>
          <t>入試数学の基礎問題精講 ⅠA・ⅡBC（・Ⅲ）（旺文社）</t>
        </is>
      </c>
      <c r="B22" s="27" t="inlineStr">
        <is>
          <t>数学</t>
        </is>
      </c>
      <c r="C22" s="27" t="n">
        <v>10</v>
      </c>
      <c r="D22" s="27" t="n"/>
      <c r="E22" s="28">
        <f>IF(OR(C22="",D22=""),"",MIN(1,D22/C22))</f>
        <v/>
      </c>
      <c r="F22" s="352" t="inlineStr">
        <is>
          <t>1冊を極める・最低10周（PLATZメソッド）</t>
        </is>
      </c>
      <c r="G22" s="509" t="n"/>
      <c r="H22" s="510" t="n"/>
    </row>
    <row r="23">
      <c r="A23" s="88" t="inlineStr">
        <is>
          <t>現代文キーワード読解（Z会）</t>
        </is>
      </c>
      <c r="B23" s="27" t="inlineStr">
        <is>
          <t>国語</t>
        </is>
      </c>
      <c r="C23" s="27" t="n">
        <v>3</v>
      </c>
      <c r="D23" s="27" t="n"/>
      <c r="E23" s="28">
        <f>IF(OR(C23="",D23=""),"",MIN(1,D23/C23))</f>
        <v/>
      </c>
      <c r="F23" s="352" t="inlineStr">
        <is>
          <t>評論の頻出語を毎週</t>
        </is>
      </c>
      <c r="G23" s="509" t="n"/>
      <c r="H23" s="510" t="n"/>
    </row>
    <row r="24">
      <c r="A24" s="88" t="inlineStr">
        <is>
          <t>読んで見て覚える重要古文単語315（桐原書店）</t>
        </is>
      </c>
      <c r="B24" s="27" t="inlineStr">
        <is>
          <t>国語</t>
        </is>
      </c>
      <c r="C24" s="27" t="n">
        <v>10</v>
      </c>
      <c r="D24" s="27" t="n"/>
      <c r="E24" s="28">
        <f>IF(OR(C24="",D24=""),"",MIN(1,D24/C24))</f>
        <v/>
      </c>
      <c r="F24" s="352" t="inlineStr">
        <is>
          <t>1月〜6月で一通り、以降は毎日復習</t>
        </is>
      </c>
      <c r="G24" s="509" t="n"/>
      <c r="H24" s="510" t="n"/>
    </row>
    <row r="25">
      <c r="A25" s="88" t="inlineStr">
        <is>
          <t>漢文早覚え速答法（学研）</t>
        </is>
      </c>
      <c r="B25" s="27" t="inlineStr">
        <is>
          <t>国語</t>
        </is>
      </c>
      <c r="C25" s="27" t="n">
        <v>5</v>
      </c>
      <c r="D25" s="27" t="n"/>
      <c r="E25" s="28">
        <f>IF(OR(C25="",D25=""),"",MIN(1,D25/C25))</f>
        <v/>
      </c>
      <c r="F25" s="352" t="inlineStr">
        <is>
          <t>句法の暗記</t>
        </is>
      </c>
      <c r="G25" s="509" t="n"/>
      <c r="H25" s="510" t="n"/>
    </row>
    <row r="26">
      <c r="A26" s="88" t="inlineStr">
        <is>
          <t>日本史一問一答【完全版】（東進ブックス）</t>
        </is>
      </c>
      <c r="B26" s="27" t="inlineStr">
        <is>
          <t>地歴公民</t>
        </is>
      </c>
      <c r="C26" s="27" t="n">
        <v>5</v>
      </c>
      <c r="D26" s="27" t="n"/>
      <c r="E26" s="28">
        <f>IF(OR(C26="",D26=""),"",MIN(1,D26/C26))</f>
        <v/>
      </c>
      <c r="F26" s="352" t="inlineStr">
        <is>
          <t>授業（日本史講座）の復習に使う</t>
        </is>
      </c>
      <c r="G26" s="509" t="n"/>
      <c r="H26" s="510" t="n"/>
    </row>
    <row r="27" s="466">
      <c r="A27" s="88" t="inlineStr">
        <is>
          <t>共通テスト過去問研究（教学社）</t>
        </is>
      </c>
      <c r="B27" s="27" t="inlineStr">
        <is>
          <t>その他</t>
        </is>
      </c>
      <c r="C27" s="27" t="n">
        <v>1</v>
      </c>
      <c r="D27" s="27" t="n"/>
      <c r="E27" s="28">
        <f>IF(OR(C27="",D27=""),"",MIN(1,D27/C27))</f>
        <v/>
      </c>
      <c r="F27" s="352" t="inlineStr">
        <is>
          <t>9月〜。時間を計って本番形式で</t>
        </is>
      </c>
      <c r="G27" s="509" t="n"/>
      <c r="H27" s="510" t="n"/>
    </row>
    <row r="28" s="466">
      <c r="A28" s="88" t="inlineStr">
        <is>
          <t>志望大学の過去問（赤本・教学社）</t>
        </is>
      </c>
      <c r="B28" s="27" t="inlineStr">
        <is>
          <t>その他</t>
        </is>
      </c>
      <c r="C28" s="27" t="n"/>
      <c r="D28" s="27" t="n"/>
      <c r="E28" s="28">
        <f>IF(OR(C28="",D28=""),"",MIN(1,D28/C28))</f>
        <v/>
      </c>
      <c r="F28" s="352" t="inlineStr">
        <is>
          <t>11月〜。最低5年分。記述は講師が添削</t>
        </is>
      </c>
      <c r="G28" s="509" t="n"/>
      <c r="H28" s="510" t="n"/>
    </row>
    <row r="29" ht="17.1" customHeight="1" s="466">
      <c r="A29" s="89" t="n"/>
      <c r="B29" s="29" t="n"/>
      <c r="C29" s="29" t="n"/>
      <c r="D29" s="29" t="n"/>
      <c r="E29" s="30">
        <f>IF(OR(C29="",D29=""),"",MIN(1,D29/C29))</f>
        <v/>
      </c>
      <c r="F29" s="370" t="n"/>
      <c r="G29" s="514" t="n"/>
      <c r="H29" s="515" t="n"/>
    </row>
    <row r="30"/>
    <row r="31"/>
    <row r="32">
      <c r="A32" s="360" t="inlineStr">
        <is>
          <t>③ 講師からのコメント（成績表に載ります）</t>
        </is>
      </c>
    </row>
    <row r="33">
      <c r="A33" s="825" t="n"/>
      <c r="B33" s="531" t="n"/>
      <c r="C33" s="531" t="n"/>
      <c r="D33" s="531" t="n"/>
      <c r="E33" s="531" t="n"/>
      <c r="F33" s="531" t="n"/>
      <c r="G33" s="531" t="n"/>
      <c r="H33" s="826" t="n"/>
    </row>
    <row r="34">
      <c r="A34" s="507" t="n"/>
      <c r="H34" s="827" t="n"/>
    </row>
    <row r="35">
      <c r="A35" s="507" t="n"/>
      <c r="H35" s="827" t="n"/>
    </row>
    <row r="36">
      <c r="A36" s="507" t="n"/>
      <c r="H36" s="827" t="n"/>
    </row>
    <row r="37">
      <c r="A37" s="828" t="n"/>
      <c r="B37" s="829" t="n"/>
      <c r="C37" s="829" t="n"/>
      <c r="D37" s="829" t="n"/>
      <c r="E37" s="829" t="n"/>
      <c r="F37" s="829" t="n"/>
      <c r="G37" s="829" t="n"/>
      <c r="H37" s="830" t="n"/>
    </row>
    <row r="38"/>
    <row r="39">
      <c r="A39" s="360" t="inlineStr">
        <is>
          <t>④ 次回までの目標（成績表に載ります）</t>
        </is>
      </c>
    </row>
    <row r="40">
      <c r="A40" s="825" t="n"/>
      <c r="B40" s="531" t="n"/>
      <c r="C40" s="531" t="n"/>
      <c r="D40" s="531" t="n"/>
      <c r="E40" s="531" t="n"/>
      <c r="F40" s="531" t="n"/>
      <c r="G40" s="531" t="n"/>
      <c r="H40" s="826" t="n"/>
    </row>
    <row r="41">
      <c r="A41" s="507" t="n"/>
      <c r="H41" s="827" t="n"/>
    </row>
    <row r="42">
      <c r="A42" s="828" t="n"/>
      <c r="B42" s="829" t="n"/>
      <c r="C42" s="829" t="n"/>
      <c r="D42" s="829" t="n"/>
      <c r="E42" s="829" t="n"/>
      <c r="F42" s="829" t="n"/>
      <c r="G42" s="829" t="n"/>
      <c r="H42" s="830" t="n"/>
    </row>
  </sheetData>
  <mergeCells count="18">
    <mergeCell ref="F23:H23"/>
    <mergeCell ref="F20:H20"/>
    <mergeCell ref="A18:H18"/>
    <mergeCell ref="A3:H3"/>
    <mergeCell ref="A39:H39"/>
    <mergeCell ref="F22:H22"/>
    <mergeCell ref="F19:H19"/>
    <mergeCell ref="F28:H28"/>
    <mergeCell ref="F27:H27"/>
    <mergeCell ref="A33:H37"/>
    <mergeCell ref="F29:H29"/>
    <mergeCell ref="F26:H26"/>
    <mergeCell ref="A40:H42"/>
    <mergeCell ref="A1:H1"/>
    <mergeCell ref="A32:H32"/>
    <mergeCell ref="F21:H21"/>
    <mergeCell ref="F24:H24"/>
    <mergeCell ref="F25:H25"/>
  </mergeCells>
  <pageMargins left="0.7" right="0.7" top="0.75" bottom="0.75" header="0.3" footer="0.3"/>
  <pageSetup orientation="portrait" paperSize="9" fitToHeight="1" fitToWidth="1"/>
</worksheet>
</file>

<file path=xl/worksheets/sheet6.xml><?xml version="1.0" encoding="utf-8"?>
<worksheet xmlns="http://schemas.openxmlformats.org/spreadsheetml/2006/main">
  <sheetPr codeName="shReport">
    <outlinePr summaryBelow="1" summaryRight="1"/>
    <pageSetUpPr fitToPage="1"/>
  </sheetPr>
  <dimension ref="A1:P60"/>
  <sheetViews>
    <sheetView showGridLines="0" tabSelected="0" workbookViewId="0">
      <selection activeCell="A1" sqref="A1"/>
    </sheetView>
  </sheetViews>
  <sheetFormatPr baseColWidth="8" defaultRowHeight="15"/>
  <cols>
    <col width="8" customWidth="1" style="466" min="1" max="1"/>
    <col width="8" customWidth="1" style="466" min="2" max="2"/>
    <col width="8" customWidth="1" style="466" min="3" max="3"/>
    <col width="8" customWidth="1" style="466" min="4" max="4"/>
    <col width="8" customWidth="1" style="466" min="5" max="5"/>
    <col width="8" customWidth="1" style="466" min="6" max="6"/>
    <col width="8" customWidth="1" style="466" min="7" max="7"/>
    <col width="8" customWidth="1" style="466" min="8" max="8"/>
    <col width="8" customWidth="1" style="466" min="9" max="9"/>
    <col width="8" customWidth="1" style="466" min="10" max="10"/>
    <col width="8" customWidth="1" style="466" min="11" max="11"/>
    <col width="8" customWidth="1" style="466" min="12" max="12"/>
    <col width="8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33.95" customHeight="1" s="466">
      <c r="A1" s="380" t="inlineStr">
        <is>
          <t>学習達成度レポート</t>
        </is>
      </c>
      <c r="B1" s="831" t="n"/>
      <c r="C1" s="831" t="n"/>
      <c r="D1" s="831" t="n"/>
      <c r="E1" s="831" t="n"/>
      <c r="F1" s="831" t="n"/>
      <c r="G1" s="831" t="n"/>
      <c r="H1" s="831" t="n"/>
      <c r="I1" s="381" t="inlineStr">
        <is>
          <t>個人指導塾 PLATZ</t>
        </is>
      </c>
      <c r="J1" s="831" t="n"/>
      <c r="K1" s="831" t="n"/>
      <c r="L1" s="831" t="n"/>
    </row>
    <row r="2" ht="17.1" customHeight="1" s="466">
      <c r="I2" s="382">
        <f>"作成日："&amp;TEXT(基準日,"yyyy年m月d日")</f>
        <v/>
      </c>
      <c r="J2" s="832" t="n"/>
      <c r="K2" s="832" t="n"/>
      <c r="L2" s="832" t="n"/>
    </row>
    <row r="3" ht="20.1" customHeight="1" s="466">
      <c r="A3" s="383" t="inlineStr">
        <is>
          <t>氏名</t>
        </is>
      </c>
      <c r="B3" s="505" t="n"/>
      <c r="C3" s="385">
        <f>IF(kName="","（未入力）",kName&amp;"　さん")</f>
        <v/>
      </c>
      <c r="D3" s="504" t="n"/>
      <c r="E3" s="504" t="n"/>
      <c r="F3" s="505" t="n"/>
      <c r="G3" s="384" t="inlineStr">
        <is>
          <t>高校・学年</t>
        </is>
      </c>
      <c r="H3" s="505" t="n"/>
      <c r="I3" s="386">
        <f>IF(kHighschool="","",kHighschool&amp;"　")&amp;kGrade</f>
        <v/>
      </c>
      <c r="J3" s="504" t="n"/>
      <c r="K3" s="504" t="n"/>
      <c r="L3" s="505" t="n"/>
    </row>
    <row r="4" ht="20.1" customHeight="1" s="466">
      <c r="A4" s="372" t="inlineStr">
        <is>
          <t>志望区分</t>
        </is>
      </c>
      <c r="B4" s="510" t="n"/>
      <c r="C4" s="373">
        <f>IF(LEFT(kSystem,2)="国立","国公立大","私立大")&amp;"（"&amp;kBunri&amp;"）　"&amp;kLevel&amp;"レベル"</f>
        <v/>
      </c>
      <c r="D4" s="509" t="n"/>
      <c r="E4" s="509" t="n"/>
      <c r="F4" s="510" t="n"/>
      <c r="G4" s="358" t="inlineStr">
        <is>
          <t>担当</t>
        </is>
      </c>
      <c r="H4" s="510" t="n"/>
      <c r="I4" s="374">
        <f>IF(kTantou="","",kTantou)</f>
        <v/>
      </c>
      <c r="J4" s="509" t="n"/>
      <c r="K4" s="509" t="n"/>
      <c r="L4" s="510" t="n"/>
    </row>
    <row r="5" ht="26.1" customHeight="1" s="466">
      <c r="A5" s="376" t="inlineStr">
        <is>
          <t>志望大学</t>
        </is>
      </c>
      <c r="B5" s="515" t="n"/>
      <c r="C5" s="378">
        <f>合格一貫カリキュラム!I1</f>
        <v/>
      </c>
      <c r="D5" s="514" t="n"/>
      <c r="E5" s="514" t="n"/>
      <c r="F5" s="514" t="n"/>
      <c r="G5" s="514" t="n"/>
      <c r="H5" s="514" t="n"/>
      <c r="I5" s="514" t="n"/>
      <c r="J5" s="514" t="n"/>
      <c r="K5" s="514" t="n"/>
      <c r="L5" s="515" t="n"/>
    </row>
    <row r="6" ht="8.1" customHeight="1" s="466"/>
    <row r="7" ht="18" customHeight="1" s="466">
      <c r="A7" s="396" t="inlineStr">
        <is>
          <t>志望校までの総合達成度</t>
        </is>
      </c>
      <c r="B7" s="500" t="n"/>
      <c r="C7" s="500" t="n"/>
      <c r="D7" s="500" t="n"/>
      <c r="E7" s="402" t="inlineStr">
        <is>
          <t>講座の受講</t>
        </is>
      </c>
      <c r="F7" s="833" t="n"/>
      <c r="G7" s="834" t="n"/>
      <c r="H7" s="402" t="inlineStr">
        <is>
          <t>模試（偏差値）</t>
        </is>
      </c>
      <c r="I7" s="833" t="n"/>
      <c r="J7" s="834" t="n"/>
      <c r="K7" s="402" t="inlineStr">
        <is>
          <t>家庭学習教材</t>
        </is>
      </c>
      <c r="L7" s="834" t="n"/>
    </row>
    <row r="8" ht="30" customHeight="1" s="466">
      <c r="A8" s="400">
        <f>IFERROR(AVERAGE(F9,I9,L9),"")</f>
        <v/>
      </c>
      <c r="E8" s="404">
        <f>IF(SUM(O12:O23)=0,"—",SUM(N12:N23)&amp;" / "&amp;SUM(O12:O23)&amp;" 回")</f>
        <v/>
      </c>
      <c r="F8" s="525" t="n"/>
      <c r="G8" s="835" t="n"/>
      <c r="H8" s="404">
        <f>IF(模試・自学!H14="","—","最新 "&amp;TEXT(模試・自学!H14,"0.0")&amp;" / 目標 "&amp;TEXT(模試・自学!H5,"0.0"))</f>
        <v/>
      </c>
      <c r="I8" s="525" t="n"/>
      <c r="J8" s="835" t="n"/>
      <c r="K8" s="404" t="inlineStr">
        <is>
          <t>推奨教材の周回</t>
        </is>
      </c>
      <c r="L8" s="835" t="n"/>
    </row>
    <row r="9" ht="18" customHeight="1" s="466">
      <c r="A9" s="667" t="n"/>
      <c r="B9" s="511" t="n"/>
      <c r="C9" s="511" t="n"/>
      <c r="D9" s="511" t="n"/>
      <c r="E9" s="36" t="inlineStr">
        <is>
          <t>▶</t>
        </is>
      </c>
      <c r="F9" s="406">
        <f>IF(SUM(O12:O23)=0,"",SUM(N12:N23)/SUM(O12:O23))</f>
        <v/>
      </c>
      <c r="G9" s="836" t="n"/>
      <c r="H9" s="36" t="inlineStr">
        <is>
          <t>▶</t>
        </is>
      </c>
      <c r="I9" s="406">
        <f>模試・自学!J5</f>
        <v/>
      </c>
      <c r="J9" s="836" t="n"/>
      <c r="K9" s="36" t="inlineStr">
        <is>
          <t>▶</t>
        </is>
      </c>
      <c r="L9" s="37">
        <f>模試・自学!J7</f>
        <v/>
      </c>
    </row>
    <row r="10" ht="17.1" customHeight="1" s="466">
      <c r="A10" s="388" t="inlineStr">
        <is>
          <t>※ 総合達成度＝講座の受講・模試・家庭学習教材の平均（未入力の項目は除く）。模試は偏差値40を0%、志望校の目標偏差値を100%として計算。</t>
        </is>
      </c>
      <c r="B10" s="500" t="n"/>
      <c r="C10" s="500" t="n"/>
      <c r="D10" s="500" t="n"/>
      <c r="E10" s="500" t="n"/>
      <c r="F10" s="500" t="n"/>
      <c r="G10" s="500" t="n"/>
      <c r="H10" s="500" t="n"/>
      <c r="I10" s="500" t="n"/>
      <c r="J10" s="500" t="n"/>
      <c r="K10" s="500" t="n"/>
      <c r="L10" s="500" t="n"/>
    </row>
    <row r="11">
      <c r="A11" s="816" t="inlineStr">
        <is>
          <t>① 講座の受講状況</t>
        </is>
      </c>
      <c r="B11" s="500" t="n"/>
      <c r="C11" s="500" t="n"/>
      <c r="D11" s="500" t="n"/>
      <c r="E11" s="500" t="n"/>
      <c r="F11" s="500" t="n"/>
      <c r="G11" s="500" t="n"/>
      <c r="H11" s="500" t="n"/>
      <c r="I11" s="500" t="n"/>
      <c r="J11" s="500" t="n"/>
      <c r="K11" s="500" t="n"/>
      <c r="L11" s="502" t="n"/>
      <c r="N11" s="32" t="inlineStr">
        <is>
          <t>済</t>
        </is>
      </c>
      <c r="O11" s="32" t="inlineStr">
        <is>
          <t>全</t>
        </is>
      </c>
      <c r="P11" s="32" t="inlineStr">
        <is>
          <t>遅れ</t>
        </is>
      </c>
    </row>
    <row r="12" ht="18.95" customHeight="1" s="466">
      <c r="A12" s="390">
        <f>合格一貫カリキュラム!A8</f>
        <v/>
      </c>
      <c r="B12" s="835" t="n"/>
      <c r="C12" s="392">
        <f>IF(O12=0,"",N12&amp;" / "&amp;O12&amp;" 回")</f>
        <v/>
      </c>
      <c r="D12" s="835" t="n"/>
      <c r="E12" s="393">
        <f>IF(O12=0,"",N12/O12)</f>
        <v/>
      </c>
      <c r="F12" s="525" t="n"/>
      <c r="G12" s="525" t="n"/>
      <c r="H12" s="525" t="n"/>
      <c r="I12" s="835" t="n"/>
      <c r="J12" s="394">
        <f>IF(O12=0,"",IF(P12=0,"予定どおり","遅れ "&amp;P12&amp;" 回"))</f>
        <v/>
      </c>
      <c r="K12" s="525" t="n"/>
      <c r="L12" s="835" t="n"/>
      <c r="N12" s="32">
        <f>((COUNTIF(合格一貫カリキュラム!$B$9:$R$9,"☑*")+COUNTIF(合格一貫カリキュラム!$B$9:$R$9,"☑*・*")))*(設定!$B$13="○")</f>
        <v/>
      </c>
      <c r="O12" s="32">
        <f>((COUNTIF(合格一貫カリキュラム!$B$9:$R$9,"?*")-COUNTIF(合格一貫カリキュラム!$B$9:$R$9,"※")+COUNTIF(合格一貫カリキュラム!$B$9:$R$9,"*・*")))*(設定!$B$13="○")</f>
        <v/>
      </c>
      <c r="P12" s="32">
        <f>(SUMPRODUCT((LEFT(合格一貫カリキュラム!$B$9:$R$9,1)&lt;&gt;"☑")*(合格一貫カリキュラム!$B$9:$R$9&lt;&gt;"")*(合格一貫カリキュラム!$B$9:$R$9&lt;&gt;"※")*(期間終了日&lt;基準日)*(1+ISNUMBER(FIND("・",合格一貫カリキュラム!$B$9:$R$9)))))*(設定!$B$13="○")</f>
        <v/>
      </c>
    </row>
    <row r="13" ht="18.95" customHeight="1" s="466">
      <c r="A13" s="409">
        <f>合格一貫カリキュラム!A14</f>
        <v/>
      </c>
      <c r="B13" s="835" t="n"/>
      <c r="C13" s="392">
        <f>IF(O13=0,"",N13&amp;" / "&amp;O13&amp;" 回")</f>
        <v/>
      </c>
      <c r="D13" s="835" t="n"/>
      <c r="E13" s="393">
        <f>IF(O13=0,"",N13/O13)</f>
        <v/>
      </c>
      <c r="F13" s="525" t="n"/>
      <c r="G13" s="525" t="n"/>
      <c r="H13" s="525" t="n"/>
      <c r="I13" s="835" t="n"/>
      <c r="J13" s="394">
        <f>IF(O13=0,"",IF(P13=0,"予定どおり","遅れ "&amp;P13&amp;" 回"))</f>
        <v/>
      </c>
      <c r="K13" s="525" t="n"/>
      <c r="L13" s="835" t="n"/>
      <c r="N13" s="32">
        <f>((COUNTIF(合格一貫カリキュラム!$B$15:$R$15,"☑*")+COUNTIF(合格一貫カリキュラム!$B$15:$R$15,"☑*・*")))*(設定!$B$14="○")</f>
        <v/>
      </c>
      <c r="O13" s="32">
        <f>((COUNTIF(合格一貫カリキュラム!$B$15:$R$15,"?*")-COUNTIF(合格一貫カリキュラム!$B$15:$R$15,"※")+COUNTIF(合格一貫カリキュラム!$B$15:$R$15,"*・*")))*(設定!$B$14="○")</f>
        <v/>
      </c>
      <c r="P13" s="32">
        <f>(SUMPRODUCT((LEFT(合格一貫カリキュラム!$B$15:$R$15,1)&lt;&gt;"☑")*(合格一貫カリキュラム!$B$15:$R$15&lt;&gt;"")*(合格一貫カリキュラム!$B$15:$R$15&lt;&gt;"※")*(期間終了日&lt;基準日)*(1+ISNUMBER(FIND("・",合格一貫カリキュラム!$B$15:$R$15)))))*(設定!$B$14="○")</f>
        <v/>
      </c>
    </row>
    <row r="14" ht="18.95" customHeight="1" s="466">
      <c r="A14" s="410">
        <f>合格一貫カリキュラム!A20</f>
        <v/>
      </c>
      <c r="B14" s="835" t="n"/>
      <c r="C14" s="392">
        <f>IF(O14=0,"",N14&amp;" / "&amp;O14&amp;" 回")</f>
        <v/>
      </c>
      <c r="D14" s="835" t="n"/>
      <c r="E14" s="393">
        <f>IF(O14=0,"",N14/O14)</f>
        <v/>
      </c>
      <c r="F14" s="525" t="n"/>
      <c r="G14" s="525" t="n"/>
      <c r="H14" s="525" t="n"/>
      <c r="I14" s="835" t="n"/>
      <c r="J14" s="394">
        <f>IF(O14=0,"",IF(P14=0,"予定どおり","遅れ "&amp;P14&amp;" 回"))</f>
        <v/>
      </c>
      <c r="K14" s="525" t="n"/>
      <c r="L14" s="835" t="n"/>
      <c r="N14" s="32">
        <f>((COUNTIF(合格一貫カリキュラム!$B$21:$R$21,"☑*")+COUNTIF(合格一貫カリキュラム!$B$21:$R$21,"☑*・*")))*(設定!$B$15="○")</f>
        <v/>
      </c>
      <c r="O14" s="32">
        <f>((COUNTIF(合格一貫カリキュラム!$B$21:$R$21,"?*")-COUNTIF(合格一貫カリキュラム!$B$21:$R$21,"※")+COUNTIF(合格一貫カリキュラム!$B$21:$R$21,"*・*")))*(設定!$B$15="○")</f>
        <v/>
      </c>
      <c r="P14" s="32">
        <f>(SUMPRODUCT((LEFT(合格一貫カリキュラム!$B$21:$R$21,1)&lt;&gt;"☑")*(合格一貫カリキュラム!$B$21:$R$21&lt;&gt;"")*(合格一貫カリキュラム!$B$21:$R$21&lt;&gt;"※")*(期間終了日&lt;基準日)*(1+ISNUMBER(FIND("・",合格一貫カリキュラム!$B$21:$R$21)))))*(設定!$B$15="○")</f>
        <v/>
      </c>
    </row>
    <row r="15" ht="18.95" customHeight="1" s="466">
      <c r="A15" s="407">
        <f>合格一貫カリキュラム!A26</f>
        <v/>
      </c>
      <c r="B15" s="835" t="n"/>
      <c r="C15" s="392">
        <f>IF(O15=0,"",N15&amp;" / "&amp;O15&amp;" 回")</f>
        <v/>
      </c>
      <c r="D15" s="835" t="n"/>
      <c r="E15" s="393">
        <f>IF(O15=0,"",N15/O15)</f>
        <v/>
      </c>
      <c r="F15" s="525" t="n"/>
      <c r="G15" s="525" t="n"/>
      <c r="H15" s="525" t="n"/>
      <c r="I15" s="835" t="n"/>
      <c r="J15" s="394">
        <f>IF(O15=0,"",IF(P15=0,"予定どおり","遅れ "&amp;P15&amp;" 回"))</f>
        <v/>
      </c>
      <c r="K15" s="525" t="n"/>
      <c r="L15" s="835" t="n"/>
      <c r="N15" s="32">
        <f>((COUNTIF(合格一貫カリキュラム!$B$27:$R$27,"☑*")+COUNTIF(合格一貫カリキュラム!$B$27:$R$27,"☑*・*")))*(設定!$B$16="○")</f>
        <v/>
      </c>
      <c r="O15" s="32">
        <f>((COUNTIF(合格一貫カリキュラム!$B$27:$R$27,"?*")-COUNTIF(合格一貫カリキュラム!$B$27:$R$27,"※")+COUNTIF(合格一貫カリキュラム!$B$27:$R$27,"*・*")))*(設定!$B$16="○")</f>
        <v/>
      </c>
      <c r="P15" s="32">
        <f>(SUMPRODUCT((LEFT(合格一貫カリキュラム!$B$27:$R$27,1)&lt;&gt;"☑")*(合格一貫カリキュラム!$B$27:$R$27&lt;&gt;"")*(合格一貫カリキュラム!$B$27:$R$27&lt;&gt;"※")*(期間終了日&lt;基準日)*(1+ISNUMBER(FIND("・",合格一貫カリキュラム!$B$27:$R$27)))))*(設定!$B$16="○")</f>
        <v/>
      </c>
    </row>
    <row r="16" ht="18.95" customHeight="1" s="466">
      <c r="A16" s="408">
        <f>合格一貫カリキュラム!A32</f>
        <v/>
      </c>
      <c r="B16" s="835" t="n"/>
      <c r="C16" s="392">
        <f>IF(O16=0,"",N16&amp;" / "&amp;O16&amp;" 回")</f>
        <v/>
      </c>
      <c r="D16" s="835" t="n"/>
      <c r="E16" s="393">
        <f>IF(O16=0,"",N16/O16)</f>
        <v/>
      </c>
      <c r="F16" s="525" t="n"/>
      <c r="G16" s="525" t="n"/>
      <c r="H16" s="525" t="n"/>
      <c r="I16" s="835" t="n"/>
      <c r="J16" s="394">
        <f>IF(O16=0,"",IF(P16=0,"予定どおり","遅れ "&amp;P16&amp;" 回"))</f>
        <v/>
      </c>
      <c r="K16" s="525" t="n"/>
      <c r="L16" s="835" t="n"/>
      <c r="N16" s="32">
        <f>((COUNTIF(合格一貫カリキュラム!$B$33:$R$33,"☑*")+COUNTIF(合格一貫カリキュラム!$B$33:$R$33,"☑*・*")))*(設定!$B$17="○")</f>
        <v/>
      </c>
      <c r="O16" s="32">
        <f>((COUNTIF(合格一貫カリキュラム!$B$33:$R$33,"?*")-COUNTIF(合格一貫カリキュラム!$B$33:$R$33,"※")+COUNTIF(合格一貫カリキュラム!$B$33:$R$33,"*・*")))*(設定!$B$17="○")</f>
        <v/>
      </c>
      <c r="P16" s="32">
        <f>(SUMPRODUCT((LEFT(合格一貫カリキュラム!$B$33:$R$33,1)&lt;&gt;"☑")*(合格一貫カリキュラム!$B$33:$R$33&lt;&gt;"")*(合格一貫カリキュラム!$B$33:$R$33&lt;&gt;"※")*(期間終了日&lt;基準日)*(1+ISNUMBER(FIND("・",合格一貫カリキュラム!$B$33:$R$33)))))*(設定!$B$17="○")</f>
        <v/>
      </c>
    </row>
    <row r="17" ht="18.95" customHeight="1" s="466">
      <c r="A17" s="413">
        <f>合格一貫カリキュラム!A38</f>
        <v/>
      </c>
      <c r="B17" s="835" t="n"/>
      <c r="C17" s="392">
        <f>IF(O17=0,"",N17&amp;" / "&amp;O17&amp;" 回")</f>
        <v/>
      </c>
      <c r="D17" s="835" t="n"/>
      <c r="E17" s="393">
        <f>IF(O17=0,"",N17/O17)</f>
        <v/>
      </c>
      <c r="F17" s="525" t="n"/>
      <c r="G17" s="525" t="n"/>
      <c r="H17" s="525" t="n"/>
      <c r="I17" s="835" t="n"/>
      <c r="J17" s="394">
        <f>IF(O17=0,"",IF(P17=0,"予定どおり","遅れ "&amp;P17&amp;" 回"))</f>
        <v/>
      </c>
      <c r="K17" s="525" t="n"/>
      <c r="L17" s="835" t="n"/>
      <c r="N17" s="32">
        <f>((COUNTIF(合格一貫カリキュラム!$B$39:$R$39,"☑*")+COUNTIF(合格一貫カリキュラム!$B$39:$R$39,"☑*・*")))*(設定!$B$18="○")</f>
        <v/>
      </c>
      <c r="O17" s="32">
        <f>((COUNTIF(合格一貫カリキュラム!$B$39:$R$39,"?*")-COUNTIF(合格一貫カリキュラム!$B$39:$R$39,"※")+COUNTIF(合格一貫カリキュラム!$B$39:$R$39,"*・*")))*(設定!$B$18="○")</f>
        <v/>
      </c>
      <c r="P17" s="32">
        <f>(SUMPRODUCT((LEFT(合格一貫カリキュラム!$B$39:$R$39,1)&lt;&gt;"☑")*(合格一貫カリキュラム!$B$39:$R$39&lt;&gt;"")*(合格一貫カリキュラム!$B$39:$R$39&lt;&gt;"※")*(期間終了日&lt;基準日)*(1+ISNUMBER(FIND("・",合格一貫カリキュラム!$B$39:$R$39)))))*(設定!$B$18="○")</f>
        <v/>
      </c>
    </row>
    <row r="18" ht="18.95" customHeight="1" s="466">
      <c r="A18" s="414">
        <f>合格一貫カリキュラム!A44</f>
        <v/>
      </c>
      <c r="B18" s="835" t="n"/>
      <c r="C18" s="392">
        <f>IF(O18=0,"",N18&amp;" / "&amp;O18&amp;" 回")</f>
        <v/>
      </c>
      <c r="D18" s="835" t="n"/>
      <c r="E18" s="393">
        <f>IF(O18=0,"",N18/O18)</f>
        <v/>
      </c>
      <c r="F18" s="525" t="n"/>
      <c r="G18" s="525" t="n"/>
      <c r="H18" s="525" t="n"/>
      <c r="I18" s="835" t="n"/>
      <c r="J18" s="394">
        <f>IF(O18=0,"",IF(P18=0,"予定どおり","遅れ "&amp;P18&amp;" 回"))</f>
        <v/>
      </c>
      <c r="K18" s="525" t="n"/>
      <c r="L18" s="835" t="n"/>
      <c r="N18" s="32">
        <f>((COUNTIF(合格一貫カリキュラム!$B$45:$R$45,"☑*")+COUNTIF(合格一貫カリキュラム!$B$45:$R$45,"☑*・*")))*(設定!$B$19="○")</f>
        <v/>
      </c>
      <c r="O18" s="32">
        <f>((COUNTIF(合格一貫カリキュラム!$B$45:$R$45,"?*")-COUNTIF(合格一貫カリキュラム!$B$45:$R$45,"※")+COUNTIF(合格一貫カリキュラム!$B$45:$R$45,"*・*")))*(設定!$B$19="○")</f>
        <v/>
      </c>
      <c r="P18" s="32">
        <f>(SUMPRODUCT((LEFT(合格一貫カリキュラム!$B$45:$R$45,1)&lt;&gt;"☑")*(合格一貫カリキュラム!$B$45:$R$45&lt;&gt;"")*(合格一貫カリキュラム!$B$45:$R$45&lt;&gt;"※")*(期間終了日&lt;基準日)*(1+ISNUMBER(FIND("・",合格一貫カリキュラム!$B$45:$R$45)))))*(設定!$B$19="○")</f>
        <v/>
      </c>
    </row>
    <row r="19" ht="18.95" customHeight="1" s="466">
      <c r="A19" s="411">
        <f>合格一貫カリキュラム!A50</f>
        <v/>
      </c>
      <c r="B19" s="835" t="n"/>
      <c r="C19" s="392">
        <f>IF(O19=0,"",N19&amp;" / "&amp;O19&amp;" 回")</f>
        <v/>
      </c>
      <c r="D19" s="835" t="n"/>
      <c r="E19" s="393">
        <f>IF(O19=0,"",N19/O19)</f>
        <v/>
      </c>
      <c r="F19" s="525" t="n"/>
      <c r="G19" s="525" t="n"/>
      <c r="H19" s="525" t="n"/>
      <c r="I19" s="835" t="n"/>
      <c r="J19" s="394">
        <f>IF(O19=0,"",IF(P19=0,"予定どおり","遅れ "&amp;P19&amp;" 回"))</f>
        <v/>
      </c>
      <c r="K19" s="525" t="n"/>
      <c r="L19" s="835" t="n"/>
      <c r="N19" s="32">
        <f>((COUNTIF(合格一貫カリキュラム!$B$51:$R$51,"☑*")+COUNTIF(合格一貫カリキュラム!$B$51:$R$51,"☑*・*")))*(設定!$B$20="○")</f>
        <v/>
      </c>
      <c r="O19" s="32">
        <f>((COUNTIF(合格一貫カリキュラム!$B$51:$R$51,"?*")-COUNTIF(合格一貫カリキュラム!$B$51:$R$51,"※")+COUNTIF(合格一貫カリキュラム!$B$51:$R$51,"*・*")))*(設定!$B$20="○")</f>
        <v/>
      </c>
      <c r="P19" s="32">
        <f>(SUMPRODUCT((LEFT(合格一貫カリキュラム!$B$51:$R$51,1)&lt;&gt;"☑")*(合格一貫カリキュラム!$B$51:$R$51&lt;&gt;"")*(合格一貫カリキュラム!$B$51:$R$51&lt;&gt;"※")*(期間終了日&lt;基準日)*(1+ISNUMBER(FIND("・",合格一貫カリキュラム!$B$51:$R$51)))))*(設定!$B$20="○")</f>
        <v/>
      </c>
    </row>
    <row r="20" ht="18.95" customHeight="1" s="466">
      <c r="A20" s="412">
        <f>合格一貫カリキュラム!A56</f>
        <v/>
      </c>
      <c r="B20" s="835" t="n"/>
      <c r="C20" s="392">
        <f>IF(O20=0,"",N20&amp;" / "&amp;O20&amp;" 回")</f>
        <v/>
      </c>
      <c r="D20" s="835" t="n"/>
      <c r="E20" s="393">
        <f>IF(O20=0,"",N20/O20)</f>
        <v/>
      </c>
      <c r="F20" s="525" t="n"/>
      <c r="G20" s="525" t="n"/>
      <c r="H20" s="525" t="n"/>
      <c r="I20" s="835" t="n"/>
      <c r="J20" s="394">
        <f>IF(O20=0,"",IF(P20=0,"予定どおり","遅れ "&amp;P20&amp;" 回"))</f>
        <v/>
      </c>
      <c r="K20" s="525" t="n"/>
      <c r="L20" s="835" t="n"/>
      <c r="N20" s="32">
        <f>((COUNTIF(合格一貫カリキュラム!$B$57:$R$57,"☑*")+COUNTIF(合格一貫カリキュラム!$B$57:$R$57,"☑*・*")))*(設定!$B$21="○")</f>
        <v/>
      </c>
      <c r="O20" s="32">
        <f>((COUNTIF(合格一貫カリキュラム!$B$57:$R$57,"?*")-COUNTIF(合格一貫カリキュラム!$B$57:$R$57,"※")+COUNTIF(合格一貫カリキュラム!$B$57:$R$57,"*・*")))*(設定!$B$21="○")</f>
        <v/>
      </c>
      <c r="P20" s="32">
        <f>(SUMPRODUCT((LEFT(合格一貫カリキュラム!$B$57:$R$57,1)&lt;&gt;"☑")*(合格一貫カリキュラム!$B$57:$R$57&lt;&gt;"")*(合格一貫カリキュラム!$B$57:$R$57&lt;&gt;"※")*(期間終了日&lt;基準日)*(1+ISNUMBER(FIND("・",合格一貫カリキュラム!$B$57:$R$57)))))*(設定!$B$21="○")</f>
        <v/>
      </c>
    </row>
    <row r="21" ht="18.95" customHeight="1" s="466">
      <c r="A21" s="424">
        <f>合格一貫カリキュラム!A62</f>
        <v/>
      </c>
      <c r="B21" s="835" t="n"/>
      <c r="C21" s="392">
        <f>IF(O21=0,"",N21&amp;" / "&amp;O21&amp;" 回")</f>
        <v/>
      </c>
      <c r="D21" s="835" t="n"/>
      <c r="E21" s="393">
        <f>IF(O21=0,"",N21/O21)</f>
        <v/>
      </c>
      <c r="F21" s="525" t="n"/>
      <c r="G21" s="525" t="n"/>
      <c r="H21" s="525" t="n"/>
      <c r="I21" s="835" t="n"/>
      <c r="J21" s="394">
        <f>IF(O21=0,"",IF(P21=0,"予定どおり","遅れ "&amp;P21&amp;" 回"))</f>
        <v/>
      </c>
      <c r="K21" s="525" t="n"/>
      <c r="L21" s="835" t="n"/>
      <c r="N21" s="32">
        <f>((COUNTIF(合格一貫カリキュラム!$B$63:$R$63,"☑*")+COUNTIF(合格一貫カリキュラム!$B$63:$R$63,"☑*・*")))*(設定!$B$22="○")</f>
        <v/>
      </c>
      <c r="O21" s="32">
        <f>((COUNTIF(合格一貫カリキュラム!$B$63:$R$63,"?*")-COUNTIF(合格一貫カリキュラム!$B$63:$R$63,"※")+COUNTIF(合格一貫カリキュラム!$B$63:$R$63,"*・*")))*(設定!$B$22="○")</f>
        <v/>
      </c>
      <c r="P21" s="32">
        <f>(SUMPRODUCT((LEFT(合格一貫カリキュラム!$B$63:$R$63,1)&lt;&gt;"☑")*(合格一貫カリキュラム!$B$63:$R$63&lt;&gt;"")*(合格一貫カリキュラム!$B$63:$R$63&lt;&gt;"※")*(期間終了日&lt;基準日)*(1+ISNUMBER(FIND("・",合格一貫カリキュラム!$B$63:$R$63)))))*(設定!$B$22="○")</f>
        <v/>
      </c>
    </row>
    <row r="22" ht="18.95" customHeight="1" s="466">
      <c r="A22" s="425">
        <f>合格一貫カリキュラム!A68</f>
        <v/>
      </c>
      <c r="B22" s="835" t="n"/>
      <c r="C22" s="392">
        <f>IF(O22=0,"",N22&amp;" / "&amp;O22&amp;" 回")</f>
        <v/>
      </c>
      <c r="D22" s="835" t="n"/>
      <c r="E22" s="393">
        <f>IF(O22=0,"",N22/O22)</f>
        <v/>
      </c>
      <c r="F22" s="525" t="n"/>
      <c r="G22" s="525" t="n"/>
      <c r="H22" s="525" t="n"/>
      <c r="I22" s="835" t="n"/>
      <c r="J22" s="394">
        <f>IF(O22=0,"",IF(P22=0,"予定どおり","遅れ "&amp;P22&amp;" 回"))</f>
        <v/>
      </c>
      <c r="K22" s="525" t="n"/>
      <c r="L22" s="835" t="n"/>
      <c r="N22" s="32">
        <f>((COUNTIF(合格一貫カリキュラム!$B$69:$R$69,"☑*")+COUNTIF(合格一貫カリキュラム!$B$69:$R$69,"☑*・*")))*(設定!$B$23="○")</f>
        <v/>
      </c>
      <c r="O22" s="32">
        <f>((COUNTIF(合格一貫カリキュラム!$B$69:$R$69,"?*")-COUNTIF(合格一貫カリキュラム!$B$69:$R$69,"※")+COUNTIF(合格一貫カリキュラム!$B$69:$R$69,"*・*")))*(設定!$B$23="○")</f>
        <v/>
      </c>
      <c r="P22" s="32">
        <f>(SUMPRODUCT((LEFT(合格一貫カリキュラム!$B$69:$R$69,1)&lt;&gt;"☑")*(合格一貫カリキュラム!$B$69:$R$69&lt;&gt;"")*(合格一貫カリキュラム!$B$69:$R$69&lt;&gt;"※")*(期間終了日&lt;基準日)*(1+ISNUMBER(FIND("・",合格一貫カリキュラム!$B$69:$R$69)))))*(設定!$B$23="○")</f>
        <v/>
      </c>
    </row>
    <row r="23" ht="18.95" customHeight="1" s="466">
      <c r="A23" s="415">
        <f>合格一貫カリキュラム!A74</f>
        <v/>
      </c>
      <c r="B23" s="836" t="n"/>
      <c r="C23" s="417">
        <f>IF(O23=0,"",N23&amp;" / "&amp;O23&amp;" 回")</f>
        <v/>
      </c>
      <c r="D23" s="836" t="n"/>
      <c r="E23" s="418">
        <f>IF(O23=0,"",N23/O23)</f>
        <v/>
      </c>
      <c r="F23" s="837" t="n"/>
      <c r="G23" s="837" t="n"/>
      <c r="H23" s="837" t="n"/>
      <c r="I23" s="836" t="n"/>
      <c r="J23" s="419">
        <f>IF(O23=0,"",IF(P23=0,"予定どおり","遅れ "&amp;P23&amp;" 回"))</f>
        <v/>
      </c>
      <c r="K23" s="837" t="n"/>
      <c r="L23" s="836" t="n"/>
      <c r="N23" s="32">
        <f>((COUNTIF(合格一貫カリキュラム!$B$75:$R$75,"☑*")+COUNTIF(合格一貫カリキュラム!$B$75:$R$75,"☑*・*")))*(設定!$B$24="○")</f>
        <v/>
      </c>
      <c r="O23" s="32">
        <f>((COUNTIF(合格一貫カリキュラム!$B$75:$R$75,"?*")-COUNTIF(合格一貫カリキュラム!$B$75:$R$75,"※")+COUNTIF(合格一貫カリキュラム!$B$75:$R$75,"*・*")))*(設定!$B$24="○")</f>
        <v/>
      </c>
      <c r="P23" s="32">
        <f>(SUMPRODUCT((LEFT(合格一貫カリキュラム!$B$75:$R$75,1)&lt;&gt;"☑")*(合格一貫カリキュラム!$B$75:$R$75&lt;&gt;"")*(合格一貫カリキュラム!$B$75:$R$75&lt;&gt;"※")*(期間終了日&lt;基準日)*(1+ISNUMBER(FIND("・",合格一貫カリキュラム!$B$75:$R$75)))))*(設定!$B$24="○")</f>
        <v/>
      </c>
    </row>
    <row r="24" ht="8.1" customHeight="1" s="466"/>
    <row r="25">
      <c r="A25" s="816" t="inlineStr">
        <is>
          <t>② 模試の結果（偏差値）</t>
        </is>
      </c>
      <c r="B25" s="500" t="n"/>
      <c r="C25" s="500" t="n"/>
      <c r="D25" s="500" t="n"/>
      <c r="E25" s="500" t="n"/>
      <c r="F25" s="500" t="n"/>
      <c r="G25" s="500" t="n"/>
      <c r="H25" s="500" t="n"/>
      <c r="I25" s="500" t="n"/>
      <c r="J25" s="500" t="n"/>
      <c r="K25" s="500" t="n"/>
      <c r="L25" s="502" t="n"/>
    </row>
    <row r="26">
      <c r="A26" s="421" t="inlineStr">
        <is>
          <t>模試名</t>
        </is>
      </c>
      <c r="B26" s="525" t="n"/>
      <c r="C26" s="835" t="n"/>
      <c r="D26" s="422" t="inlineStr">
        <is>
          <t>実施日</t>
        </is>
      </c>
      <c r="E26" s="835" t="n"/>
      <c r="F26" s="422" t="inlineStr">
        <is>
          <t>英語</t>
        </is>
      </c>
      <c r="G26" s="422" t="inlineStr">
        <is>
          <t>数学</t>
        </is>
      </c>
      <c r="H26" s="422" t="inlineStr">
        <is>
          <t>国語</t>
        </is>
      </c>
      <c r="I26" s="422" t="inlineStr">
        <is>
          <t>地歴公民</t>
        </is>
      </c>
      <c r="J26" s="422" t="inlineStr">
        <is>
          <t>理科</t>
        </is>
      </c>
      <c r="K26" s="422" t="inlineStr">
        <is>
          <t>総合</t>
        </is>
      </c>
      <c r="L26" s="835" t="n"/>
    </row>
    <row r="27" ht="17.1" customHeight="1" s="466">
      <c r="A27" s="426">
        <f>IF(模試・自学!A6="","",模試・自学!A6)</f>
        <v/>
      </c>
      <c r="B27" s="525" t="n"/>
      <c r="C27" s="835" t="n"/>
      <c r="D27" s="428">
        <f>IF(模試・自学!B6="","",模試・自学!B6)</f>
        <v/>
      </c>
      <c r="E27" s="835" t="n"/>
      <c r="F27" s="838">
        <f>IF(模試・自学!C6="","",模試・自学!C6)</f>
        <v/>
      </c>
      <c r="G27" s="838">
        <f>IF(模試・自学!D6="","",模試・自学!D6)</f>
        <v/>
      </c>
      <c r="H27" s="838">
        <f>IF(模試・自学!E6="","",模試・自学!E6)</f>
        <v/>
      </c>
      <c r="I27" s="838">
        <f>IF(模試・自学!F6="","",模試・自学!F6)</f>
        <v/>
      </c>
      <c r="J27" s="838">
        <f>IF(模試・自学!G6="","",模試・自学!G6)</f>
        <v/>
      </c>
      <c r="K27" s="838">
        <f>IF(模試・自学!H6="","",模試・自学!H6)</f>
        <v/>
      </c>
      <c r="L27" s="835" t="n"/>
    </row>
    <row r="28" ht="17.1" customHeight="1" s="466">
      <c r="A28" s="426">
        <f>IF(模試・自学!A7="","",模試・自学!A7)</f>
        <v/>
      </c>
      <c r="B28" s="525" t="n"/>
      <c r="C28" s="835" t="n"/>
      <c r="D28" s="428">
        <f>IF(模試・自学!B7="","",模試・自学!B7)</f>
        <v/>
      </c>
      <c r="E28" s="835" t="n"/>
      <c r="F28" s="838">
        <f>IF(模試・自学!C7="","",模試・自学!C7)</f>
        <v/>
      </c>
      <c r="G28" s="838">
        <f>IF(模試・自学!D7="","",模試・自学!D7)</f>
        <v/>
      </c>
      <c r="H28" s="838">
        <f>IF(模試・自学!E7="","",模試・自学!E7)</f>
        <v/>
      </c>
      <c r="I28" s="838">
        <f>IF(模試・自学!F7="","",模試・自学!F7)</f>
        <v/>
      </c>
      <c r="J28" s="838">
        <f>IF(模試・自学!G7="","",模試・自学!G7)</f>
        <v/>
      </c>
      <c r="K28" s="838">
        <f>IF(模試・自学!H7="","",模試・自学!H7)</f>
        <v/>
      </c>
      <c r="L28" s="835" t="n"/>
    </row>
    <row r="29" ht="17.1" customHeight="1" s="466">
      <c r="A29" s="426">
        <f>IF(模試・自学!A8="","",模試・自学!A8)</f>
        <v/>
      </c>
      <c r="B29" s="525" t="n"/>
      <c r="C29" s="835" t="n"/>
      <c r="D29" s="428">
        <f>IF(模試・自学!B8="","",模試・自学!B8)</f>
        <v/>
      </c>
      <c r="E29" s="835" t="n"/>
      <c r="F29" s="838">
        <f>IF(模試・自学!C8="","",模試・自学!C8)</f>
        <v/>
      </c>
      <c r="G29" s="838">
        <f>IF(模試・自学!D8="","",模試・自学!D8)</f>
        <v/>
      </c>
      <c r="H29" s="838">
        <f>IF(模試・自学!E8="","",模試・自学!E8)</f>
        <v/>
      </c>
      <c r="I29" s="838">
        <f>IF(模試・自学!F8="","",模試・自学!F8)</f>
        <v/>
      </c>
      <c r="J29" s="838">
        <f>IF(模試・自学!G8="","",模試・自学!G8)</f>
        <v/>
      </c>
      <c r="K29" s="838">
        <f>IF(模試・自学!H8="","",模試・自学!H8)</f>
        <v/>
      </c>
      <c r="L29" s="835" t="n"/>
    </row>
    <row r="30" ht="17.1" customHeight="1" s="466">
      <c r="A30" s="426">
        <f>IF(模試・自学!A9="","",模試・自学!A9)</f>
        <v/>
      </c>
      <c r="B30" s="525" t="n"/>
      <c r="C30" s="835" t="n"/>
      <c r="D30" s="428">
        <f>IF(模試・自学!B9="","",模試・自学!B9)</f>
        <v/>
      </c>
      <c r="E30" s="835" t="n"/>
      <c r="F30" s="838">
        <f>IF(模試・自学!C9="","",模試・自学!C9)</f>
        <v/>
      </c>
      <c r="G30" s="838">
        <f>IF(模試・自学!D9="","",模試・自学!D9)</f>
        <v/>
      </c>
      <c r="H30" s="838">
        <f>IF(模試・自学!E9="","",模試・自学!E9)</f>
        <v/>
      </c>
      <c r="I30" s="838">
        <f>IF(模試・自学!F9="","",模試・自学!F9)</f>
        <v/>
      </c>
      <c r="J30" s="838">
        <f>IF(模試・自学!G9="","",模試・自学!G9)</f>
        <v/>
      </c>
      <c r="K30" s="838">
        <f>IF(模試・自学!H9="","",模試・自学!H9)</f>
        <v/>
      </c>
      <c r="L30" s="835" t="n"/>
    </row>
    <row r="31" ht="17.1" customHeight="1" s="466">
      <c r="A31" s="426">
        <f>IF(模試・自学!A10="","",模試・自学!A10)</f>
        <v/>
      </c>
      <c r="B31" s="525" t="n"/>
      <c r="C31" s="835" t="n"/>
      <c r="D31" s="428">
        <f>IF(模試・自学!B10="","",模試・自学!B10)</f>
        <v/>
      </c>
      <c r="E31" s="835" t="n"/>
      <c r="F31" s="838">
        <f>IF(模試・自学!C10="","",模試・自学!C10)</f>
        <v/>
      </c>
      <c r="G31" s="838">
        <f>IF(模試・自学!D10="","",模試・自学!D10)</f>
        <v/>
      </c>
      <c r="H31" s="838">
        <f>IF(模試・自学!E10="","",模試・自学!E10)</f>
        <v/>
      </c>
      <c r="I31" s="838">
        <f>IF(模試・自学!F10="","",模試・自学!F10)</f>
        <v/>
      </c>
      <c r="J31" s="838">
        <f>IF(模試・自学!G10="","",模試・自学!G10)</f>
        <v/>
      </c>
      <c r="K31" s="838">
        <f>IF(模試・自学!H10="","",模試・自学!H10)</f>
        <v/>
      </c>
      <c r="L31" s="835" t="n"/>
    </row>
    <row r="32" ht="17.1" customHeight="1" s="466">
      <c r="A32" s="426">
        <f>IF(模試・自学!A11="","",模試・自学!A11)</f>
        <v/>
      </c>
      <c r="B32" s="525" t="n"/>
      <c r="C32" s="835" t="n"/>
      <c r="D32" s="428">
        <f>IF(模試・自学!B11="","",模試・自学!B11)</f>
        <v/>
      </c>
      <c r="E32" s="835" t="n"/>
      <c r="F32" s="838">
        <f>IF(模試・自学!C11="","",模試・自学!C11)</f>
        <v/>
      </c>
      <c r="G32" s="838">
        <f>IF(模試・自学!D11="","",模試・自学!D11)</f>
        <v/>
      </c>
      <c r="H32" s="838">
        <f>IF(模試・自学!E11="","",模試・自学!E11)</f>
        <v/>
      </c>
      <c r="I32" s="838">
        <f>IF(模試・自学!F11="","",模試・自学!F11)</f>
        <v/>
      </c>
      <c r="J32" s="838">
        <f>IF(模試・自学!G11="","",模試・自学!G11)</f>
        <v/>
      </c>
      <c r="K32" s="838">
        <f>IF(模試・自学!H11="","",模試・自学!H11)</f>
        <v/>
      </c>
      <c r="L32" s="835" t="n"/>
    </row>
    <row r="33" ht="17.1" customHeight="1" s="466">
      <c r="A33" s="426">
        <f>IF(模試・自学!A12="","",模試・自学!A12)</f>
        <v/>
      </c>
      <c r="B33" s="525" t="n"/>
      <c r="C33" s="835" t="n"/>
      <c r="D33" s="428">
        <f>IF(模試・自学!B12="","",模試・自学!B12)</f>
        <v/>
      </c>
      <c r="E33" s="835" t="n"/>
      <c r="F33" s="838">
        <f>IF(模試・自学!C12="","",模試・自学!C12)</f>
        <v/>
      </c>
      <c r="G33" s="838">
        <f>IF(模試・自学!D12="","",模試・自学!D12)</f>
        <v/>
      </c>
      <c r="H33" s="838">
        <f>IF(模試・自学!E12="","",模試・自学!E12)</f>
        <v/>
      </c>
      <c r="I33" s="838">
        <f>IF(模試・自学!F12="","",模試・自学!F12)</f>
        <v/>
      </c>
      <c r="J33" s="838">
        <f>IF(模試・自学!G12="","",模試・自学!G12)</f>
        <v/>
      </c>
      <c r="K33" s="838">
        <f>IF(模試・自学!H12="","",模試・自学!H12)</f>
        <v/>
      </c>
      <c r="L33" s="835" t="n"/>
    </row>
    <row r="34" ht="17.1" customHeight="1" s="466">
      <c r="A34" s="426">
        <f>IF(模試・自学!A13="","",模試・自学!A13)</f>
        <v/>
      </c>
      <c r="B34" s="525" t="n"/>
      <c r="C34" s="835" t="n"/>
      <c r="D34" s="428">
        <f>IF(模試・自学!B13="","",模試・自学!B13)</f>
        <v/>
      </c>
      <c r="E34" s="835" t="n"/>
      <c r="F34" s="838">
        <f>IF(模試・自学!C13="","",模試・自学!C13)</f>
        <v/>
      </c>
      <c r="G34" s="838">
        <f>IF(模試・自学!D13="","",模試・自学!D13)</f>
        <v/>
      </c>
      <c r="H34" s="838">
        <f>IF(模試・自学!E13="","",模試・自学!E13)</f>
        <v/>
      </c>
      <c r="I34" s="838">
        <f>IF(模試・自学!F13="","",模試・自学!F13)</f>
        <v/>
      </c>
      <c r="J34" s="838">
        <f>IF(模試・自学!G13="","",模試・自学!G13)</f>
        <v/>
      </c>
      <c r="K34" s="838">
        <f>IF(模試・自学!H13="","",模試・自学!H13)</f>
        <v/>
      </c>
      <c r="L34" s="835" t="n"/>
    </row>
    <row r="35" ht="17.1" customHeight="1" s="466">
      <c r="A35" s="435" t="inlineStr">
        <is>
          <t>志望校の目標</t>
        </is>
      </c>
      <c r="B35" s="525" t="n"/>
      <c r="C35" s="525" t="n"/>
      <c r="D35" s="525" t="n"/>
      <c r="E35" s="835" t="n"/>
      <c r="F35" s="839">
        <f>IF(模試・自学!C5="","",模試・自学!C5)</f>
        <v/>
      </c>
      <c r="G35" s="839">
        <f>IF(模試・自学!D5="","",模試・自学!D5)</f>
        <v/>
      </c>
      <c r="H35" s="839">
        <f>IF(模試・自学!E5="","",模試・自学!E5)</f>
        <v/>
      </c>
      <c r="I35" s="839">
        <f>IF(模試・自学!F5="","",模試・自学!F5)</f>
        <v/>
      </c>
      <c r="J35" s="839">
        <f>IF(模試・自学!G5="","",模試・自学!G5)</f>
        <v/>
      </c>
      <c r="K35" s="839">
        <f>IF(模試・自学!H5="","",模試・自学!H5)</f>
        <v/>
      </c>
      <c r="L35" s="835" t="n"/>
    </row>
    <row r="36" ht="17.1" customHeight="1" s="466">
      <c r="A36" s="439" t="inlineStr">
        <is>
          <t>最新の結果と目標との差</t>
        </is>
      </c>
      <c r="B36" s="837" t="n"/>
      <c r="C36" s="837" t="n"/>
      <c r="D36" s="837" t="n"/>
      <c r="E36" s="836" t="n"/>
      <c r="F36" s="840">
        <f>模試・自学!C15</f>
        <v/>
      </c>
      <c r="G36" s="840">
        <f>模試・自学!D15</f>
        <v/>
      </c>
      <c r="H36" s="840">
        <f>模試・自学!E15</f>
        <v/>
      </c>
      <c r="I36" s="840">
        <f>模試・自学!F15</f>
        <v/>
      </c>
      <c r="J36" s="840">
        <f>模試・自学!G15</f>
        <v/>
      </c>
      <c r="K36" s="840">
        <f>模試・自学!H15</f>
        <v/>
      </c>
      <c r="L36" s="836" t="n"/>
    </row>
    <row r="37" ht="8.1" customHeight="1" s="466"/>
    <row r="38">
      <c r="A38" s="816" t="inlineStr">
        <is>
          <t>③ 家庭学習推奨教材</t>
        </is>
      </c>
      <c r="B38" s="500" t="n"/>
      <c r="C38" s="500" t="n"/>
      <c r="D38" s="500" t="n"/>
      <c r="E38" s="500" t="n"/>
      <c r="F38" s="500" t="n"/>
      <c r="G38" s="500" t="n"/>
      <c r="H38" s="500" t="n"/>
      <c r="I38" s="500" t="n"/>
      <c r="J38" s="500" t="n"/>
      <c r="K38" s="500" t="n"/>
      <c r="L38" s="502" t="n"/>
    </row>
    <row r="39">
      <c r="A39" s="421" t="inlineStr">
        <is>
          <t>科目</t>
        </is>
      </c>
      <c r="B39" s="835" t="n"/>
      <c r="C39" s="422" t="inlineStr">
        <is>
          <t>教材名</t>
        </is>
      </c>
      <c r="D39" s="525" t="n"/>
      <c r="E39" s="525" t="n"/>
      <c r="F39" s="835" t="n"/>
      <c r="G39" s="443" t="inlineStr">
        <is>
          <t>周回（現在／目標）</t>
        </is>
      </c>
      <c r="H39" s="835" t="n"/>
      <c r="I39" s="422" t="inlineStr">
        <is>
          <t>進捗率</t>
        </is>
      </c>
      <c r="J39" s="525" t="n"/>
      <c r="K39" s="525" t="n"/>
      <c r="L39" s="835" t="n"/>
    </row>
    <row r="40" ht="17.1" customHeight="1" s="466">
      <c r="A40" s="431">
        <f>IF(模試・自学!A20="","",模試・自学!B20)</f>
        <v/>
      </c>
      <c r="B40" s="835" t="n"/>
      <c r="C40" s="427">
        <f>IF(模試・自学!A20="","",模試・自学!A20)</f>
        <v/>
      </c>
      <c r="D40" s="525" t="n"/>
      <c r="E40" s="525" t="n"/>
      <c r="F40" s="835" t="n"/>
      <c r="G40" s="432">
        <f>IF(模試・自学!A20="","",IF(模試・自学!D20="","-",模試・自学!D20)&amp;" / "&amp;IF(模試・自学!C20="","-",模試・自学!C20)&amp;" 周")</f>
        <v/>
      </c>
      <c r="H40" s="835" t="n"/>
      <c r="I40" s="433">
        <f>模試・自学!E20</f>
        <v/>
      </c>
      <c r="J40" s="525" t="n"/>
      <c r="K40" s="525" t="n"/>
      <c r="L40" s="835" t="n"/>
    </row>
    <row r="41" ht="17.1" customHeight="1" s="466">
      <c r="A41" s="431">
        <f>IF(模試・自学!A21="","",模試・自学!B21)</f>
        <v/>
      </c>
      <c r="B41" s="835" t="n"/>
      <c r="C41" s="427">
        <f>IF(模試・自学!A21="","",模試・自学!A21)</f>
        <v/>
      </c>
      <c r="D41" s="525" t="n"/>
      <c r="E41" s="525" t="n"/>
      <c r="F41" s="835" t="n"/>
      <c r="G41" s="432">
        <f>IF(模試・自学!A21="","",IF(模試・自学!D21="","-",模試・自学!D21)&amp;" / "&amp;IF(模試・自学!C21="","-",模試・自学!C21)&amp;" 周")</f>
        <v/>
      </c>
      <c r="H41" s="835" t="n"/>
      <c r="I41" s="433">
        <f>模試・自学!E21</f>
        <v/>
      </c>
      <c r="J41" s="525" t="n"/>
      <c r="K41" s="525" t="n"/>
      <c r="L41" s="835" t="n"/>
    </row>
    <row r="42" ht="17.1" customHeight="1" s="466">
      <c r="A42" s="431">
        <f>IF(模試・自学!A22="","",模試・自学!B22)</f>
        <v/>
      </c>
      <c r="B42" s="835" t="n"/>
      <c r="C42" s="427">
        <f>IF(模試・自学!A22="","",模試・自学!A22)</f>
        <v/>
      </c>
      <c r="D42" s="525" t="n"/>
      <c r="E42" s="525" t="n"/>
      <c r="F42" s="835" t="n"/>
      <c r="G42" s="432">
        <f>IF(模試・自学!A22="","",IF(模試・自学!D22="","-",模試・自学!D22)&amp;" / "&amp;IF(模試・自学!C22="","-",模試・自学!C22)&amp;" 周")</f>
        <v/>
      </c>
      <c r="H42" s="835" t="n"/>
      <c r="I42" s="433">
        <f>模試・自学!E22</f>
        <v/>
      </c>
      <c r="J42" s="525" t="n"/>
      <c r="K42" s="525" t="n"/>
      <c r="L42" s="835" t="n"/>
    </row>
    <row r="43" ht="17.1" customHeight="1" s="466">
      <c r="A43" s="431">
        <f>IF(模試・自学!A23="","",模試・自学!B23)</f>
        <v/>
      </c>
      <c r="B43" s="835" t="n"/>
      <c r="C43" s="427">
        <f>IF(模試・自学!A23="","",模試・自学!A23)</f>
        <v/>
      </c>
      <c r="D43" s="525" t="n"/>
      <c r="E43" s="525" t="n"/>
      <c r="F43" s="835" t="n"/>
      <c r="G43" s="432">
        <f>IF(模試・自学!A23="","",IF(模試・自学!D23="","-",模試・自学!D23)&amp;" / "&amp;IF(模試・自学!C23="","-",模試・自学!C23)&amp;" 周")</f>
        <v/>
      </c>
      <c r="H43" s="835" t="n"/>
      <c r="I43" s="433">
        <f>模試・自学!E23</f>
        <v/>
      </c>
      <c r="J43" s="525" t="n"/>
      <c r="K43" s="525" t="n"/>
      <c r="L43" s="835" t="n"/>
    </row>
    <row r="44" ht="17.1" customHeight="1" s="466">
      <c r="A44" s="431">
        <f>IF(模試・自学!A24="","",模試・自学!B24)</f>
        <v/>
      </c>
      <c r="B44" s="835" t="n"/>
      <c r="C44" s="427">
        <f>IF(模試・自学!A24="","",模試・自学!A24)</f>
        <v/>
      </c>
      <c r="D44" s="525" t="n"/>
      <c r="E44" s="525" t="n"/>
      <c r="F44" s="835" t="n"/>
      <c r="G44" s="432">
        <f>IF(模試・自学!A24="","",IF(模試・自学!D24="","-",模試・自学!D24)&amp;" / "&amp;IF(模試・自学!C24="","-",模試・自学!C24)&amp;" 周")</f>
        <v/>
      </c>
      <c r="H44" s="835" t="n"/>
      <c r="I44" s="433">
        <f>模試・自学!E24</f>
        <v/>
      </c>
      <c r="J44" s="525" t="n"/>
      <c r="K44" s="525" t="n"/>
      <c r="L44" s="835" t="n"/>
    </row>
    <row r="45" ht="17.1" customHeight="1" s="466">
      <c r="A45" s="431">
        <f>IF(模試・自学!A25="","",模試・自学!B25)</f>
        <v/>
      </c>
      <c r="B45" s="835" t="n"/>
      <c r="C45" s="427">
        <f>IF(模試・自学!A25="","",模試・自学!A25)</f>
        <v/>
      </c>
      <c r="D45" s="525" t="n"/>
      <c r="E45" s="525" t="n"/>
      <c r="F45" s="835" t="n"/>
      <c r="G45" s="432">
        <f>IF(模試・自学!A25="","",IF(模試・自学!D25="","-",模試・自学!D25)&amp;" / "&amp;IF(模試・自学!C25="","-",模試・自学!C25)&amp;" 周")</f>
        <v/>
      </c>
      <c r="H45" s="835" t="n"/>
      <c r="I45" s="433">
        <f>模試・自学!E25</f>
        <v/>
      </c>
      <c r="J45" s="525" t="n"/>
      <c r="K45" s="525" t="n"/>
      <c r="L45" s="835" t="n"/>
    </row>
    <row r="46" ht="17.1" customHeight="1" s="466">
      <c r="A46" s="431">
        <f>IF(模試・自学!A26="","",模試・自学!B26)</f>
        <v/>
      </c>
      <c r="B46" s="835" t="n"/>
      <c r="C46" s="427">
        <f>IF(模試・自学!A26="","",模試・自学!A26)</f>
        <v/>
      </c>
      <c r="D46" s="525" t="n"/>
      <c r="E46" s="525" t="n"/>
      <c r="F46" s="835" t="n"/>
      <c r="G46" s="432">
        <f>IF(模試・自学!A26="","",IF(模試・自学!D26="","-",模試・自学!D26)&amp;" / "&amp;IF(模試・自学!C26="","-",模試・自学!C26)&amp;" 周")</f>
        <v/>
      </c>
      <c r="H46" s="835" t="n"/>
      <c r="I46" s="433">
        <f>模試・自学!E26</f>
        <v/>
      </c>
      <c r="J46" s="525" t="n"/>
      <c r="K46" s="525" t="n"/>
      <c r="L46" s="835" t="n"/>
    </row>
    <row r="47" ht="17.1" customHeight="1" s="466">
      <c r="A47" s="431">
        <f>IF(模試・自学!A27="","",模試・自学!B27)</f>
        <v/>
      </c>
      <c r="B47" s="835" t="n"/>
      <c r="C47" s="427">
        <f>IF(模試・自学!A27="","",模試・自学!A27)</f>
        <v/>
      </c>
      <c r="D47" s="525" t="n"/>
      <c r="E47" s="525" t="n"/>
      <c r="F47" s="835" t="n"/>
      <c r="G47" s="432">
        <f>IF(模試・自学!A27="","",IF(模試・自学!D27="","-",模試・自学!D27)&amp;" / "&amp;IF(模試・自学!C27="","-",模試・自学!C27)&amp;" 周")</f>
        <v/>
      </c>
      <c r="H47" s="835" t="n"/>
      <c r="I47" s="433">
        <f>模試・自学!E27</f>
        <v/>
      </c>
      <c r="J47" s="525" t="n"/>
      <c r="K47" s="525" t="n"/>
      <c r="L47" s="835" t="n"/>
    </row>
    <row r="48" ht="17.1" customHeight="1" s="466">
      <c r="A48" s="431">
        <f>IF(模試・自学!A28="","",模試・自学!B28)</f>
        <v/>
      </c>
      <c r="B48" s="835" t="n"/>
      <c r="C48" s="427">
        <f>IF(模試・自学!A28="","",模試・自学!A28)</f>
        <v/>
      </c>
      <c r="D48" s="525" t="n"/>
      <c r="E48" s="525" t="n"/>
      <c r="F48" s="835" t="n"/>
      <c r="G48" s="432">
        <f>IF(模試・自学!A28="","",IF(模試・自学!D28="","-",模試・自学!D28)&amp;" / "&amp;IF(模試・自学!C28="","-",模試・自学!C28)&amp;" 周")</f>
        <v/>
      </c>
      <c r="H48" s="835" t="n"/>
      <c r="I48" s="433">
        <f>模試・自学!E28</f>
        <v/>
      </c>
      <c r="J48" s="525" t="n"/>
      <c r="K48" s="525" t="n"/>
      <c r="L48" s="835" t="n"/>
    </row>
    <row r="49" ht="17.1" customHeight="1" s="466">
      <c r="A49" s="461">
        <f>IF(模試・自学!A29="","",模試・自学!B29)</f>
        <v/>
      </c>
      <c r="B49" s="836" t="n"/>
      <c r="C49" s="463">
        <f>IF(模試・自学!A29="","",模試・自学!A29)</f>
        <v/>
      </c>
      <c r="D49" s="837" t="n"/>
      <c r="E49" s="837" t="n"/>
      <c r="F49" s="836" t="n"/>
      <c r="G49" s="462">
        <f>IF(模試・自学!A29="","",IF(模試・自学!D29="","-",模試・自学!D29)&amp;" / "&amp;IF(模試・自学!C29="","-",模試・自学!C29)&amp;" 周")</f>
        <v/>
      </c>
      <c r="H49" s="836" t="n"/>
      <c r="I49" s="464">
        <f>模試・自学!E29</f>
        <v/>
      </c>
      <c r="J49" s="837" t="n"/>
      <c r="K49" s="837" t="n"/>
      <c r="L49" s="836" t="n"/>
    </row>
    <row r="50" ht="8.1" customHeight="1" s="466"/>
    <row r="51">
      <c r="A51" s="816" t="inlineStr">
        <is>
          <t>④ 講師からのコメント</t>
        </is>
      </c>
      <c r="B51" s="500" t="n"/>
      <c r="C51" s="500" t="n"/>
      <c r="D51" s="500" t="n"/>
      <c r="E51" s="500" t="n"/>
      <c r="F51" s="500" t="n"/>
      <c r="G51" s="500" t="n"/>
      <c r="H51" s="500" t="n"/>
      <c r="I51" s="500" t="n"/>
      <c r="J51" s="500" t="n"/>
      <c r="K51" s="500" t="n"/>
      <c r="L51" s="502" t="n"/>
    </row>
    <row r="52" ht="18" customHeight="1" s="466">
      <c r="A52" s="841">
        <f>IF(模試・自学!A33="","",模試・自学!A33)</f>
        <v/>
      </c>
      <c r="L52" s="508" t="n"/>
    </row>
    <row r="53" ht="18" customHeight="1" s="466">
      <c r="A53" s="506" t="n"/>
      <c r="L53" s="508" t="n"/>
    </row>
    <row r="54" ht="18" customHeight="1" s="466">
      <c r="A54" s="506" t="n"/>
      <c r="L54" s="508" t="n"/>
    </row>
    <row r="55" ht="18" customHeight="1" s="466">
      <c r="A55" s="667" t="n"/>
      <c r="B55" s="511" t="n"/>
      <c r="C55" s="511" t="n"/>
      <c r="D55" s="511" t="n"/>
      <c r="E55" s="511" t="n"/>
      <c r="F55" s="511" t="n"/>
      <c r="G55" s="511" t="n"/>
      <c r="H55" s="511" t="n"/>
      <c r="I55" s="511" t="n"/>
      <c r="J55" s="511" t="n"/>
      <c r="K55" s="511" t="n"/>
      <c r="L55" s="513" t="n"/>
    </row>
    <row r="56" ht="8.1" customHeight="1" s="466"/>
    <row r="57" ht="18" customHeight="1" s="466">
      <c r="A57" s="842" t="inlineStr">
        <is>
          <t>⑤ 次回までの目標</t>
        </is>
      </c>
      <c r="B57" s="500" t="n"/>
      <c r="C57" s="500" t="n"/>
      <c r="D57" s="500" t="n"/>
      <c r="E57" s="500" t="n"/>
      <c r="F57" s="500" t="n"/>
      <c r="G57" s="500" t="n"/>
      <c r="H57" s="500" t="n"/>
      <c r="I57" s="500" t="n"/>
      <c r="J57" s="500" t="n"/>
      <c r="K57" s="500" t="n"/>
      <c r="L57" s="502" t="n"/>
    </row>
    <row r="58" ht="18" customHeight="1" s="466">
      <c r="A58" s="843">
        <f>IF(模試・自学!A40="","",模試・自学!A40)</f>
        <v/>
      </c>
      <c r="L58" s="508" t="n"/>
    </row>
    <row r="59" ht="18" customHeight="1" s="466">
      <c r="A59" s="667" t="n"/>
      <c r="B59" s="511" t="n"/>
      <c r="C59" s="511" t="n"/>
      <c r="D59" s="511" t="n"/>
      <c r="E59" s="511" t="n"/>
      <c r="F59" s="511" t="n"/>
      <c r="G59" s="511" t="n"/>
      <c r="H59" s="511" t="n"/>
      <c r="I59" s="511" t="n"/>
      <c r="J59" s="511" t="n"/>
      <c r="K59" s="511" t="n"/>
      <c r="L59" s="513" t="n"/>
    </row>
    <row r="60">
      <c r="A60" s="459" t="inlineStr">
        <is>
          <t>高校・大学受験専門 個人指導塾PLATZ ／ 〒373-0817 群馬県太田市飯塚町1417-1 ／ TEL 0276-55-4230 ／ 定休日：日・水</t>
        </is>
      </c>
      <c r="B60" s="500" t="n"/>
      <c r="C60" s="500" t="n"/>
      <c r="D60" s="500" t="n"/>
      <c r="E60" s="500" t="n"/>
      <c r="F60" s="500" t="n"/>
      <c r="G60" s="500" t="n"/>
      <c r="H60" s="500" t="n"/>
      <c r="I60" s="500" t="n"/>
      <c r="J60" s="500" t="n"/>
      <c r="K60" s="500" t="n"/>
      <c r="L60" s="500" t="n"/>
    </row>
  </sheetData>
  <mergeCells count="155">
    <mergeCell ref="E12:I12"/>
    <mergeCell ref="A15:B15"/>
    <mergeCell ref="C39:F39"/>
    <mergeCell ref="I1:L1"/>
    <mergeCell ref="C15:D15"/>
    <mergeCell ref="I48:L48"/>
    <mergeCell ref="K33:L33"/>
    <mergeCell ref="I4:L4"/>
    <mergeCell ref="D31:E31"/>
    <mergeCell ref="E14:I14"/>
    <mergeCell ref="A26:C26"/>
    <mergeCell ref="K26:L26"/>
    <mergeCell ref="A57:L57"/>
    <mergeCell ref="K35:L35"/>
    <mergeCell ref="I40:L40"/>
    <mergeCell ref="A41:B41"/>
    <mergeCell ref="E13:I13"/>
    <mergeCell ref="E7:G7"/>
    <mergeCell ref="E15:I15"/>
    <mergeCell ref="A8:D9"/>
    <mergeCell ref="A42:B42"/>
    <mergeCell ref="A7:D7"/>
    <mergeCell ref="A34:C34"/>
    <mergeCell ref="C41:F41"/>
    <mergeCell ref="A17:B17"/>
    <mergeCell ref="C17:D17"/>
    <mergeCell ref="A22:B22"/>
    <mergeCell ref="D33:E33"/>
    <mergeCell ref="A19:B19"/>
    <mergeCell ref="C43:F43"/>
    <mergeCell ref="E16:I16"/>
    <mergeCell ref="C19:D19"/>
    <mergeCell ref="K28:L28"/>
    <mergeCell ref="J13:L13"/>
    <mergeCell ref="G44:H44"/>
    <mergeCell ref="D26:E26"/>
    <mergeCell ref="A39:B39"/>
    <mergeCell ref="E18:I18"/>
    <mergeCell ref="J15:L15"/>
    <mergeCell ref="A48:B48"/>
    <mergeCell ref="K30:L30"/>
    <mergeCell ref="I39:L39"/>
    <mergeCell ref="I44:L44"/>
    <mergeCell ref="D34:E34"/>
    <mergeCell ref="A45:B45"/>
    <mergeCell ref="C14:D14"/>
    <mergeCell ref="A36:E36"/>
    <mergeCell ref="G48:H48"/>
    <mergeCell ref="H7:J7"/>
    <mergeCell ref="J16:L16"/>
    <mergeCell ref="C3:F3"/>
    <mergeCell ref="E20:I20"/>
    <mergeCell ref="A32:C32"/>
    <mergeCell ref="K32:L32"/>
    <mergeCell ref="A46:B46"/>
    <mergeCell ref="I46:L46"/>
    <mergeCell ref="A29:C29"/>
    <mergeCell ref="G49:H49"/>
    <mergeCell ref="A38:L38"/>
    <mergeCell ref="E22:I22"/>
    <mergeCell ref="C4:F4"/>
    <mergeCell ref="A31:C31"/>
    <mergeCell ref="K27:L27"/>
    <mergeCell ref="I41:L41"/>
    <mergeCell ref="F9:G9"/>
    <mergeCell ref="C40:F40"/>
    <mergeCell ref="J14:L14"/>
    <mergeCell ref="A60:L60"/>
    <mergeCell ref="D29:E29"/>
    <mergeCell ref="I43:L43"/>
    <mergeCell ref="E8:G8"/>
    <mergeCell ref="C18:D18"/>
    <mergeCell ref="I9:J9"/>
    <mergeCell ref="I42:L42"/>
    <mergeCell ref="A25:L25"/>
    <mergeCell ref="A49:B49"/>
    <mergeCell ref="G42:H42"/>
    <mergeCell ref="E17:I17"/>
    <mergeCell ref="G39:H39"/>
    <mergeCell ref="C20:D20"/>
    <mergeCell ref="K29:L29"/>
    <mergeCell ref="D27:E27"/>
    <mergeCell ref="A52:L55"/>
    <mergeCell ref="E19:I19"/>
    <mergeCell ref="C22:D22"/>
    <mergeCell ref="K31:L31"/>
    <mergeCell ref="I2:L2"/>
    <mergeCell ref="A3:B3"/>
    <mergeCell ref="I45:L45"/>
    <mergeCell ref="A12:B12"/>
    <mergeCell ref="A28:C28"/>
    <mergeCell ref="C12:D12"/>
    <mergeCell ref="A21:B21"/>
    <mergeCell ref="C45:F45"/>
    <mergeCell ref="C21:D21"/>
    <mergeCell ref="K8:L8"/>
    <mergeCell ref="J18:L18"/>
    <mergeCell ref="A5:B5"/>
    <mergeCell ref="H8:J8"/>
    <mergeCell ref="I47:L47"/>
    <mergeCell ref="D28:E28"/>
    <mergeCell ref="A14:B14"/>
    <mergeCell ref="A30:C30"/>
    <mergeCell ref="A23:B23"/>
    <mergeCell ref="C47:F47"/>
    <mergeCell ref="J17:L17"/>
    <mergeCell ref="C23:D23"/>
    <mergeCell ref="C44:F44"/>
    <mergeCell ref="A4:B4"/>
    <mergeCell ref="K7:L7"/>
    <mergeCell ref="D30:E30"/>
    <mergeCell ref="A43:B43"/>
    <mergeCell ref="A51:L51"/>
    <mergeCell ref="J19:L19"/>
    <mergeCell ref="G41:H41"/>
    <mergeCell ref="C46:F46"/>
    <mergeCell ref="A40:B40"/>
    <mergeCell ref="E21:I21"/>
    <mergeCell ref="G43:H43"/>
    <mergeCell ref="C48:F48"/>
    <mergeCell ref="K34:L34"/>
    <mergeCell ref="A27:C27"/>
    <mergeCell ref="E23:I23"/>
    <mergeCell ref="J20:L20"/>
    <mergeCell ref="A1:H1"/>
    <mergeCell ref="K36:L36"/>
    <mergeCell ref="A33:C33"/>
    <mergeCell ref="A16:B16"/>
    <mergeCell ref="A58:L59"/>
    <mergeCell ref="C16:D16"/>
    <mergeCell ref="C49:F49"/>
    <mergeCell ref="J22:L22"/>
    <mergeCell ref="D32:E32"/>
    <mergeCell ref="A18:B18"/>
    <mergeCell ref="C42:F42"/>
    <mergeCell ref="J12:L12"/>
    <mergeCell ref="I49:L49"/>
    <mergeCell ref="J21:L21"/>
    <mergeCell ref="G3:H3"/>
    <mergeCell ref="C5:L5"/>
    <mergeCell ref="A10:L10"/>
    <mergeCell ref="A47:B47"/>
    <mergeCell ref="J23:L23"/>
    <mergeCell ref="G45:H45"/>
    <mergeCell ref="G4:H4"/>
    <mergeCell ref="A20:B20"/>
    <mergeCell ref="A35:E35"/>
    <mergeCell ref="G47:H47"/>
    <mergeCell ref="A11:L11"/>
    <mergeCell ref="I3:L3"/>
    <mergeCell ref="A13:B13"/>
    <mergeCell ref="A44:B44"/>
    <mergeCell ref="G46:H46"/>
    <mergeCell ref="C13:D13"/>
    <mergeCell ref="G40:H40"/>
  </mergeCells>
  <conditionalFormatting sqref="E12:E23">
    <cfRule type="dataBar" priority="1">
      <dataBar>
        <cfvo type="num" val="0"/>
        <cfvo type="num" val="1"/>
        <color rgb="FF78A0DC"/>
      </dataBar>
    </cfRule>
  </conditionalFormatting>
  <conditionalFormatting sqref="J12:J23">
    <cfRule type="expression" priority="2" dxfId="2" stopIfTrue="1">
      <formula>LEFT($J12,2)="遅れ"</formula>
    </cfRule>
    <cfRule type="expression" priority="3" dxfId="1" stopIfTrue="1">
      <formula>$J12="予定どおり"</formula>
    </cfRule>
  </conditionalFormatting>
  <conditionalFormatting sqref="F36:L36">
    <cfRule type="cellIs" priority="4" operator="lessThan" dxfId="2" stopIfTrue="1">
      <formula>0</formula>
    </cfRule>
    <cfRule type="cellIs" priority="5" operator="greaterThanOrEqual" dxfId="1" stopIfTrue="1">
      <formula>0</formula>
    </cfRule>
  </conditionalFormatting>
  <conditionalFormatting sqref="I40:I47">
    <cfRule type="dataBar" priority="6">
      <dataBar>
        <cfvo type="num" val="0"/>
        <cfvo type="num" val="1"/>
        <color rgb="FFF0AA5A"/>
      </dataBar>
    </cfRule>
  </conditionalFormatting>
  <conditionalFormatting sqref="I48:I49">
    <cfRule type="dataBar" priority="7">
      <dataBar>
        <cfvo type="num" val="0"/>
        <cfvo type="num" val="1"/>
        <color rgb="0078A0DC"/>
      </dataBar>
    </cfRule>
  </conditionalFormatting>
  <printOptions horizontalCentered="1"/>
  <pageMargins left="0.4724409448818897" right="0.4724409448818897" top="0.3937007874015748" bottom="0.3149606299212599" header="0" footer="0"/>
  <pageSetup orientation="portrait" paperSize="9" scale="75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Setting">
    <tabColor rgb="00828CA0"/>
    <outlinePr summaryBelow="1" summaryRight="1"/>
    <pageSetUpPr/>
  </sheetPr>
  <dimension ref="A1:R56"/>
  <sheetViews>
    <sheetView showGridLines="0" tabSelected="0" workbookViewId="0">
      <selection activeCell="A1" sqref="A1"/>
    </sheetView>
  </sheetViews>
  <sheetFormatPr baseColWidth="8" defaultRowHeight="15"/>
  <cols>
    <col width="14" customWidth="1" style="466" min="1" max="1"/>
    <col width="9.6" customWidth="1" style="466" min="2" max="2"/>
    <col width="9.6" customWidth="1" style="466" min="3" max="3"/>
    <col width="9.6" customWidth="1" style="466" min="4" max="4"/>
    <col width="9.6" customWidth="1" style="466" min="5" max="5"/>
    <col width="9.6" customWidth="1" style="466" min="6" max="6"/>
    <col width="9.6" customWidth="1" style="466" min="7" max="7"/>
    <col width="9.6" customWidth="1" style="466" min="8" max="8"/>
    <col width="9.6" customWidth="1" style="466" min="9" max="9"/>
    <col width="9.6" customWidth="1" style="466" min="10" max="10"/>
    <col width="9.6" customWidth="1" style="466" min="11" max="11"/>
    <col width="9.6" customWidth="1" style="466" min="12" max="12"/>
    <col width="9.6" customWidth="1" style="466" min="13" max="13"/>
    <col width="9.6" customWidth="1" style="466" min="14" max="14"/>
    <col width="9.6" customWidth="1" style="466" min="15" max="15"/>
    <col width="9.6" customWidth="1" style="466" min="16" max="16"/>
    <col width="9.6" customWidth="1" style="466" min="17" max="17"/>
    <col width="9.6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>
      <c r="A1" s="3" t="inlineStr">
        <is>
          <t>年度</t>
        </is>
      </c>
      <c r="B1" s="81" t="n">
        <v>2027</v>
      </c>
      <c r="C1" s="6" t="inlineStr">
        <is>
          <t>← 生徒の高3の年度（例：2027年度の高3なら 2027。開始は高2の1月＝2027年1月）</t>
        </is>
      </c>
    </row>
    <row r="2">
      <c r="A2" s="3" t="inlineStr">
        <is>
          <t>基準日</t>
        </is>
      </c>
      <c r="B2" s="82">
        <f>TODAY()</f>
        <v/>
      </c>
      <c r="C2" s="6" t="inlineStr">
        <is>
          <t>← 通常は今日の日付。日付を直接入れると、その日時点の遅れを確認できる</t>
        </is>
      </c>
    </row>
    <row r="3">
      <c r="A3" s="3" t="n"/>
      <c r="C3" s="6" t="n"/>
    </row>
    <row r="4">
      <c r="A4" s="394" t="inlineStr">
        <is>
          <t>期間</t>
        </is>
      </c>
      <c r="B4" s="394">
        <f>合格一貫カリキュラム!B7</f>
        <v/>
      </c>
      <c r="C4" s="394">
        <f>合格一貫カリキュラム!C7</f>
        <v/>
      </c>
      <c r="D4" s="394">
        <f>合格一貫カリキュラム!D7</f>
        <v/>
      </c>
      <c r="E4" s="394">
        <f>合格一貫カリキュラム!E7</f>
        <v/>
      </c>
      <c r="F4" s="394">
        <f>合格一貫カリキュラム!F7</f>
        <v/>
      </c>
      <c r="G4" s="394">
        <f>合格一貫カリキュラム!G7</f>
        <v/>
      </c>
      <c r="H4" s="394">
        <f>合格一貫カリキュラム!H7</f>
        <v/>
      </c>
      <c r="I4" s="394">
        <f>合格一貫カリキュラム!I7</f>
        <v/>
      </c>
      <c r="J4" s="394">
        <f>合格一貫カリキュラム!J7</f>
        <v/>
      </c>
      <c r="K4" s="394">
        <f>合格一貫カリキュラム!K7</f>
        <v/>
      </c>
      <c r="L4" s="394">
        <f>合格一貫カリキュラム!L7</f>
        <v/>
      </c>
      <c r="M4" s="394">
        <f>合格一貫カリキュラム!M7</f>
        <v/>
      </c>
      <c r="N4" s="394">
        <f>合格一貫カリキュラム!N7</f>
        <v/>
      </c>
      <c r="O4" s="394">
        <f>合格一貫カリキュラム!O7</f>
        <v/>
      </c>
      <c r="P4" s="394">
        <f>合格一貫カリキュラム!P7</f>
        <v/>
      </c>
      <c r="Q4" s="394">
        <f>合格一貫カリキュラム!Q7</f>
        <v/>
      </c>
      <c r="R4" s="394">
        <f>合格一貫カリキュラム!R7</f>
        <v/>
      </c>
    </row>
    <row r="5">
      <c r="A5" s="394" t="inlineStr">
        <is>
          <t>終了日</t>
        </is>
      </c>
      <c r="B5" s="844">
        <f>DATE($B$1,1,31)</f>
        <v/>
      </c>
      <c r="C5" s="844">
        <f>DATE($B$1,3,1)-1</f>
        <v/>
      </c>
      <c r="D5" s="844">
        <f>DATE($B$1,3,24)</f>
        <v/>
      </c>
      <c r="E5" s="844">
        <f>DATE($B$1,4,7)</f>
        <v/>
      </c>
      <c r="F5" s="844">
        <f>DATE($B$1,4,30)</f>
        <v/>
      </c>
      <c r="G5" s="844">
        <f>DATE($B$1,5,31)</f>
        <v/>
      </c>
      <c r="H5" s="844">
        <f>DATE($B$1,6,30)</f>
        <v/>
      </c>
      <c r="I5" s="844">
        <f>DATE($B$1,7,31)</f>
        <v/>
      </c>
      <c r="J5" s="844">
        <f>DATE($B$1,8,31)</f>
        <v/>
      </c>
      <c r="K5" s="844">
        <f>DATE($B$1,8,10)</f>
        <v/>
      </c>
      <c r="L5" s="844">
        <f>DATE($B$1,8,31)</f>
        <v/>
      </c>
      <c r="M5" s="844">
        <f>DATE($B$1,9,30)</f>
        <v/>
      </c>
      <c r="N5" s="844">
        <f>DATE($B$1,10,31)</f>
        <v/>
      </c>
      <c r="O5" s="844">
        <f>DATE($B$1,11,30)</f>
        <v/>
      </c>
      <c r="P5" s="844">
        <f>DATE($B$1,12,31)</f>
        <v/>
      </c>
      <c r="Q5" s="844">
        <f>DATE($B$1+1,1,10)</f>
        <v/>
      </c>
      <c r="R5" s="844">
        <f>DATE($B$1+1,2,25)</f>
        <v/>
      </c>
    </row>
    <row r="6">
      <c r="A6" s="85" t="inlineStr">
        <is>
          <t>※ 終了日は仮の値（要確認）。塾の年間予定に合わせて書き換えてください。終了日を過ぎても受講済み(☑)でない回・☐は、管理表で赤く表示されます。</t>
        </is>
      </c>
      <c r="C6" s="6" t="n"/>
    </row>
    <row r="7">
      <c r="A7" s="3" t="n"/>
      <c r="C7" s="6" t="n"/>
    </row>
    <row r="8">
      <c r="A8" s="3" t="inlineStr">
        <is>
          <t>偏差値の基準</t>
        </is>
      </c>
      <c r="B8" s="81" t="n">
        <v>40</v>
      </c>
      <c r="C8" s="6" t="inlineStr">
        <is>
          <t>← 模試の到達度は「この偏差値＝0%、志望校の目標偏差値＝100%」で計算</t>
        </is>
      </c>
    </row>
    <row r="9">
      <c r="A9" s="3" t="inlineStr">
        <is>
          <t>総合達成度</t>
        </is>
      </c>
      <c r="C9" s="86" t="inlineStr">
        <is>
          <t>講座の受講・模試・自学教材の3つの平均（未入力のものは除く）</t>
        </is>
      </c>
    </row>
    <row r="10"/>
    <row r="11" ht="18" customHeight="1" s="466">
      <c r="A11" s="221" t="inlineStr">
        <is>
          <t>受験科目（データシートの受験科目チェックから自動で○が付きます。ここは直接入力しない）</t>
        </is>
      </c>
      <c r="B11" s="0" t="n"/>
      <c r="C11" s="0" t="n"/>
      <c r="D11" s="0" t="n"/>
      <c r="E11" s="0" t="n"/>
    </row>
    <row r="12" ht="18" customHeight="1" s="466">
      <c r="A12" s="222" t="inlineStr">
        <is>
          <t>科目</t>
        </is>
      </c>
      <c r="B12" s="222" t="inlineStr">
        <is>
          <t>個別試験</t>
        </is>
      </c>
      <c r="C12" s="222" t="inlineStr">
        <is>
          <t>共通テスト</t>
        </is>
      </c>
      <c r="D12" s="222" t="inlineStr">
        <is>
          <t>表示</t>
        </is>
      </c>
      <c r="E12" s="0" t="n"/>
    </row>
    <row r="13" ht="18" customHeight="1" s="466">
      <c r="A13" s="223" t="inlineStr">
        <is>
          <t>英語</t>
        </is>
      </c>
      <c r="B13" s="224">
        <f>IF(OR('データシート'!$B$22="✓"),"○","")</f>
        <v/>
      </c>
      <c r="C13" s="224">
        <f>IF(OR('データシート'!$C$22="✓"),"○","")</f>
        <v/>
      </c>
      <c r="D13" s="223">
        <f>IF(OR(B13="○",C13="○"),"表示","非表示")</f>
        <v/>
      </c>
      <c r="E13" s="0" t="n"/>
    </row>
    <row r="14" ht="18" customHeight="1" s="466">
      <c r="A14" s="223" t="inlineStr">
        <is>
          <t>数学</t>
        </is>
      </c>
      <c r="B14" s="224">
        <f>IF(OR('データシート'!$B$23="✓"),"○","")</f>
        <v/>
      </c>
      <c r="C14" s="224">
        <f>IF(OR('データシート'!$C$23="✓"),"○","")</f>
        <v/>
      </c>
      <c r="D14" s="223">
        <f>IF(OR(B14="○",C14="○"),"表示","非表示")</f>
        <v/>
      </c>
      <c r="E14" s="0" t="n"/>
    </row>
    <row r="15" ht="18" customHeight="1" s="466">
      <c r="A15" s="223" t="inlineStr">
        <is>
          <t>現代文</t>
        </is>
      </c>
      <c r="B15" s="224">
        <f>IF(OR('データシート'!$B$24="✓"),"○","")</f>
        <v/>
      </c>
      <c r="C15" s="224">
        <f>IF(OR('データシート'!$C$24="✓"),"○","")</f>
        <v/>
      </c>
      <c r="D15" s="223">
        <f>IF(OR(B15="○",C15="○"),"表示","非表示")</f>
        <v/>
      </c>
      <c r="E15" s="0" t="n"/>
    </row>
    <row r="16" ht="18" customHeight="1" s="466">
      <c r="A16" s="223" t="inlineStr">
        <is>
          <t>古文</t>
        </is>
      </c>
      <c r="B16" s="224">
        <f>IF(OR('データシート'!$B$25="✓"),"○","")</f>
        <v/>
      </c>
      <c r="C16" s="224">
        <f>IF(OR('データシート'!$C$25="✓"),"○","")</f>
        <v/>
      </c>
      <c r="D16" s="223">
        <f>IF(OR(B16="○",C16="○"),"表示","非表示")</f>
        <v/>
      </c>
      <c r="E16" s="0" t="n"/>
    </row>
    <row r="17" ht="18" customHeight="1" s="466">
      <c r="A17" s="223" t="inlineStr">
        <is>
          <t>漢文</t>
        </is>
      </c>
      <c r="B17" s="224">
        <f>IF(OR('データシート'!$B$26="✓"),"○","")</f>
        <v/>
      </c>
      <c r="C17" s="224">
        <f>IF(OR('データシート'!$C$26="✓"),"○","")</f>
        <v/>
      </c>
      <c r="D17" s="223">
        <f>IF(OR(B17="○",C17="○"),"表示","非表示")</f>
        <v/>
      </c>
      <c r="E17" s="0" t="n"/>
    </row>
    <row r="18" ht="18" customHeight="1" s="466">
      <c r="A18" s="223" t="inlineStr">
        <is>
          <t>日本史</t>
        </is>
      </c>
      <c r="B18" s="224">
        <f>IF(OR('データシート'!$B$27="✓"),"○","")</f>
        <v/>
      </c>
      <c r="C18" s="224">
        <f>IF(OR('データシート'!$C$27="✓"),"○","")</f>
        <v/>
      </c>
      <c r="D18" s="223">
        <f>IF(OR(B18="○",C18="○"),"表示","非表示")</f>
        <v/>
      </c>
      <c r="E18" s="0" t="n"/>
    </row>
    <row r="19" ht="18" customHeight="1" s="466">
      <c r="A19" s="223" t="inlineStr">
        <is>
          <t>世界史</t>
        </is>
      </c>
      <c r="B19" s="224">
        <f>IF(OR('データシート'!$B$28="✓"),"○","")</f>
        <v/>
      </c>
      <c r="C19" s="224">
        <f>IF(OR('データシート'!$C$28="✓"),"○","")</f>
        <v/>
      </c>
      <c r="D19" s="223">
        <f>IF(OR(B19="○",C19="○"),"表示","非表示")</f>
        <v/>
      </c>
      <c r="E19" s="0" t="n"/>
    </row>
    <row r="20" ht="18" customHeight="1" s="466">
      <c r="A20" s="223" t="inlineStr">
        <is>
          <t>地理</t>
        </is>
      </c>
      <c r="B20" s="224">
        <f>IF(OR('データシート'!$B$29="✓"),"○","")</f>
        <v/>
      </c>
      <c r="C20" s="224">
        <f>IF(OR('データシート'!$C$29="✓"),"○","")</f>
        <v/>
      </c>
      <c r="D20" s="223">
        <f>IF(OR(B20="○",C20="○"),"表示","非表示")</f>
        <v/>
      </c>
      <c r="E20" s="0" t="n"/>
    </row>
    <row r="21" ht="18" customHeight="1" s="466">
      <c r="A21" s="223" t="inlineStr">
        <is>
          <t>物理</t>
        </is>
      </c>
      <c r="B21" s="224">
        <f>IF(OR('データシート'!$B$30="✓",'データシート'!$B$33="✓"),"○","")</f>
        <v/>
      </c>
      <c r="C21" s="224">
        <f>IF(OR('データシート'!$C$30="✓",'データシート'!$C$33="✓"),"○","")</f>
        <v/>
      </c>
      <c r="D21" s="223">
        <f>IF(OR(B21="○",C21="○"),"表示","非表示")</f>
        <v/>
      </c>
      <c r="E21" s="0" t="n"/>
    </row>
    <row r="22" ht="18" customHeight="1" s="466">
      <c r="A22" s="223" t="inlineStr">
        <is>
          <t>化学</t>
        </is>
      </c>
      <c r="B22" s="224">
        <f>IF(OR('データシート'!$B$31="✓",'データシート'!$B$34="✓"),"○","")</f>
        <v/>
      </c>
      <c r="C22" s="224">
        <f>IF(OR('データシート'!$C$31="✓",'データシート'!$C$34="✓"),"○","")</f>
        <v/>
      </c>
      <c r="D22" s="223">
        <f>IF(OR(B22="○",C22="○"),"表示","非表示")</f>
        <v/>
      </c>
      <c r="E22" s="0" t="n"/>
    </row>
    <row r="23" ht="18" customHeight="1" s="466">
      <c r="A23" s="223" t="inlineStr">
        <is>
          <t>生物</t>
        </is>
      </c>
      <c r="B23" s="224">
        <f>IF(OR('データシート'!$B$32="✓",'データシート'!$B$35="✓"),"○","")</f>
        <v/>
      </c>
      <c r="C23" s="224">
        <f>IF(OR('データシート'!$C$32="✓",'データシート'!$C$35="✓"),"○","")</f>
        <v/>
      </c>
      <c r="D23" s="223">
        <f>IF(OR(B23="○",C23="○"),"表示","非表示")</f>
        <v/>
      </c>
      <c r="E23" s="0" t="n"/>
    </row>
    <row r="24" ht="18" customHeight="1" s="466">
      <c r="A24" s="223" t="inlineStr">
        <is>
          <t>公共・情報</t>
        </is>
      </c>
      <c r="B24" s="224">
        <f>IF(OR('データシート'!$B$36="✓",'データシート'!$B$37="✓",'データシート'!$B$38="✓"),"○","")</f>
        <v/>
      </c>
      <c r="C24" s="224">
        <f>IF(OR('データシート'!$C$36="✓",'データシート'!$C$37="✓",'データシート'!$C$38="✓"),"○","")</f>
        <v/>
      </c>
      <c r="D24" s="223">
        <f>IF(OR(B24="○",C24="○"),"表示","非表示")</f>
        <v/>
      </c>
      <c r="E24" s="0" t="n"/>
    </row>
    <row r="25" ht="18" customHeight="1" s="466">
      <c r="A25" s="225" t="inlineStr">
        <is>
          <t>※ 管理表で科目の表示/非表示だけを直したいときは「科目を反映」ボタン。</t>
        </is>
      </c>
      <c r="B25" s="0" t="n"/>
      <c r="C25" s="0" t="n"/>
      <c r="D25" s="0" t="n"/>
      <c r="E25" s="0" t="n"/>
    </row>
    <row r="26" ht="18" customHeight="1" s="466">
      <c r="A26" s="0" t="n"/>
      <c r="B26" s="0" t="n"/>
      <c r="C26" s="0" t="n"/>
      <c r="D26" s="0" t="n"/>
      <c r="E26" s="0" t="n"/>
    </row>
    <row r="27">
      <c r="A27" s="221" t="inlineStr">
        <is>
          <t>標準パターン（データシートの「標準パターンでチェック」で入る✓。自由に書き換えてよい）</t>
        </is>
      </c>
    </row>
    <row r="28" ht="26" customHeight="1" s="466">
      <c r="A28" s="222" t="inlineStr">
        <is>
          <t>項目</t>
        </is>
      </c>
      <c r="B28" s="845" t="inlineStr">
        <is>
          <t>国立文系・個別</t>
        </is>
      </c>
      <c r="C28" s="845" t="inlineStr">
        <is>
          <t>国立文系・共テ</t>
        </is>
      </c>
      <c r="D28" s="845" t="inlineStr">
        <is>
          <t>国立理系・個別</t>
        </is>
      </c>
      <c r="E28" s="845" t="inlineStr">
        <is>
          <t>国立理系・共テ</t>
        </is>
      </c>
      <c r="F28" s="845" t="inlineStr">
        <is>
          <t>私大文系・個別</t>
        </is>
      </c>
      <c r="G28" s="845" t="inlineStr">
        <is>
          <t>私大文系・共テ</t>
        </is>
      </c>
      <c r="H28" s="845" t="inlineStr">
        <is>
          <t>私大理系・個別</t>
        </is>
      </c>
      <c r="I28" s="845" t="inlineStr">
        <is>
          <t>私大理系・共テ</t>
        </is>
      </c>
    </row>
    <row r="29">
      <c r="A29" s="223" t="inlineStr">
        <is>
          <t>英語</t>
        </is>
      </c>
      <c r="B29" s="224" t="inlineStr">
        <is>
          <t>✓</t>
        </is>
      </c>
      <c r="C29" s="224" t="inlineStr">
        <is>
          <t>✓</t>
        </is>
      </c>
      <c r="D29" s="224" t="inlineStr">
        <is>
          <t>✓</t>
        </is>
      </c>
      <c r="E29" s="224" t="inlineStr">
        <is>
          <t>✓</t>
        </is>
      </c>
      <c r="F29" s="224" t="inlineStr">
        <is>
          <t>✓</t>
        </is>
      </c>
      <c r="G29" s="224" t="n"/>
      <c r="H29" s="224" t="inlineStr">
        <is>
          <t>✓</t>
        </is>
      </c>
      <c r="I29" s="224" t="n"/>
    </row>
    <row r="30">
      <c r="A30" s="223" t="inlineStr">
        <is>
          <t>数学</t>
        </is>
      </c>
      <c r="B30" s="224" t="inlineStr">
        <is>
          <t>✓</t>
        </is>
      </c>
      <c r="C30" s="224" t="inlineStr">
        <is>
          <t>✓</t>
        </is>
      </c>
      <c r="D30" s="224" t="inlineStr">
        <is>
          <t>✓</t>
        </is>
      </c>
      <c r="E30" s="224" t="inlineStr">
        <is>
          <t>✓</t>
        </is>
      </c>
      <c r="F30" s="224" t="n"/>
      <c r="G30" s="224" t="n"/>
      <c r="H30" s="224" t="inlineStr">
        <is>
          <t>✓</t>
        </is>
      </c>
      <c r="I30" s="224" t="n"/>
    </row>
    <row r="31">
      <c r="A31" s="223" t="inlineStr">
        <is>
          <t>現代文</t>
        </is>
      </c>
      <c r="B31" s="224" t="inlineStr">
        <is>
          <t>✓</t>
        </is>
      </c>
      <c r="C31" s="224" t="inlineStr">
        <is>
          <t>✓</t>
        </is>
      </c>
      <c r="D31" s="224" t="n"/>
      <c r="E31" s="224" t="inlineStr">
        <is>
          <t>✓</t>
        </is>
      </c>
      <c r="F31" s="224" t="inlineStr">
        <is>
          <t>✓</t>
        </is>
      </c>
      <c r="G31" s="224" t="n"/>
      <c r="H31" s="224" t="n"/>
      <c r="I31" s="224" t="n"/>
    </row>
    <row r="32">
      <c r="A32" s="223" t="inlineStr">
        <is>
          <t>古文</t>
        </is>
      </c>
      <c r="B32" s="224" t="inlineStr">
        <is>
          <t>✓</t>
        </is>
      </c>
      <c r="C32" s="224" t="inlineStr">
        <is>
          <t>✓</t>
        </is>
      </c>
      <c r="D32" s="224" t="n"/>
      <c r="E32" s="224" t="inlineStr">
        <is>
          <t>✓</t>
        </is>
      </c>
      <c r="F32" s="224" t="inlineStr">
        <is>
          <t>✓</t>
        </is>
      </c>
      <c r="G32" s="224" t="n"/>
      <c r="H32" s="224" t="n"/>
      <c r="I32" s="224" t="n"/>
    </row>
    <row r="33">
      <c r="A33" s="223" t="inlineStr">
        <is>
          <t>漢文</t>
        </is>
      </c>
      <c r="B33" s="224" t="inlineStr">
        <is>
          <t>✓</t>
        </is>
      </c>
      <c r="C33" s="224" t="inlineStr">
        <is>
          <t>✓</t>
        </is>
      </c>
      <c r="D33" s="224" t="n"/>
      <c r="E33" s="224" t="inlineStr">
        <is>
          <t>✓</t>
        </is>
      </c>
      <c r="F33" s="224" t="n"/>
      <c r="G33" s="224" t="n"/>
      <c r="H33" s="224" t="n"/>
      <c r="I33" s="224" t="n"/>
    </row>
    <row r="34">
      <c r="A34" s="223" t="inlineStr">
        <is>
          <t>日本史</t>
        </is>
      </c>
      <c r="B34" s="224" t="inlineStr">
        <is>
          <t>✓</t>
        </is>
      </c>
      <c r="C34" s="224" t="inlineStr">
        <is>
          <t>✓</t>
        </is>
      </c>
      <c r="D34" s="224" t="n"/>
      <c r="E34" s="224" t="n"/>
      <c r="F34" s="224" t="inlineStr">
        <is>
          <t>✓</t>
        </is>
      </c>
      <c r="G34" s="224" t="n"/>
      <c r="H34" s="224" t="n"/>
      <c r="I34" s="224" t="n"/>
    </row>
    <row r="35">
      <c r="A35" s="223" t="inlineStr">
        <is>
          <t>世界史</t>
        </is>
      </c>
      <c r="B35" s="224" t="n"/>
      <c r="C35" s="224" t="n"/>
      <c r="D35" s="224" t="n"/>
      <c r="E35" s="224" t="n"/>
      <c r="F35" s="224" t="n"/>
      <c r="G35" s="224" t="n"/>
      <c r="H35" s="224" t="n"/>
      <c r="I35" s="224" t="n"/>
    </row>
    <row r="36">
      <c r="A36" s="223" t="inlineStr">
        <is>
          <t>地理</t>
        </is>
      </c>
      <c r="B36" s="224" t="n"/>
      <c r="C36" s="224" t="n"/>
      <c r="D36" s="224" t="n"/>
      <c r="E36" s="224" t="inlineStr">
        <is>
          <t>✓</t>
        </is>
      </c>
      <c r="F36" s="224" t="n"/>
      <c r="G36" s="224" t="n"/>
      <c r="H36" s="224" t="n"/>
      <c r="I36" s="224" t="n"/>
    </row>
    <row r="37">
      <c r="A37" s="223" t="inlineStr">
        <is>
          <t>物理</t>
        </is>
      </c>
      <c r="B37" s="224" t="n"/>
      <c r="C37" s="224" t="n"/>
      <c r="D37" s="224" t="inlineStr">
        <is>
          <t>✓</t>
        </is>
      </c>
      <c r="E37" s="224" t="inlineStr">
        <is>
          <t>✓</t>
        </is>
      </c>
      <c r="F37" s="224" t="n"/>
      <c r="G37" s="224" t="n"/>
      <c r="H37" s="224" t="inlineStr">
        <is>
          <t>✓</t>
        </is>
      </c>
      <c r="I37" s="224" t="n"/>
    </row>
    <row r="38">
      <c r="A38" s="223" t="inlineStr">
        <is>
          <t>化学</t>
        </is>
      </c>
      <c r="B38" s="224" t="n"/>
      <c r="C38" s="224" t="n"/>
      <c r="D38" s="224" t="inlineStr">
        <is>
          <t>✓</t>
        </is>
      </c>
      <c r="E38" s="224" t="inlineStr">
        <is>
          <t>✓</t>
        </is>
      </c>
      <c r="F38" s="224" t="n"/>
      <c r="G38" s="224" t="n"/>
      <c r="H38" s="224" t="inlineStr">
        <is>
          <t>✓</t>
        </is>
      </c>
      <c r="I38" s="224" t="n"/>
    </row>
    <row r="39">
      <c r="A39" s="223" t="inlineStr">
        <is>
          <t>生物</t>
        </is>
      </c>
      <c r="B39" s="224" t="n"/>
      <c r="C39" s="224" t="n"/>
      <c r="D39" s="224" t="n"/>
      <c r="E39" s="224" t="n"/>
      <c r="F39" s="224" t="n"/>
      <c r="G39" s="224" t="n"/>
      <c r="H39" s="224" t="n"/>
      <c r="I39" s="224" t="n"/>
    </row>
    <row r="40">
      <c r="A40" s="223" t="inlineStr">
        <is>
          <t>物理基礎</t>
        </is>
      </c>
      <c r="B40" s="224" t="n"/>
      <c r="C40" s="224" t="n"/>
      <c r="D40" s="224" t="n"/>
      <c r="E40" s="224" t="n"/>
      <c r="F40" s="224" t="n"/>
      <c r="G40" s="224" t="n"/>
      <c r="H40" s="224" t="n"/>
      <c r="I40" s="224" t="n"/>
    </row>
    <row r="41">
      <c r="A41" s="223" t="inlineStr">
        <is>
          <t>化学基礎</t>
        </is>
      </c>
      <c r="B41" s="224" t="n"/>
      <c r="C41" s="224" t="inlineStr">
        <is>
          <t>✓</t>
        </is>
      </c>
      <c r="D41" s="224" t="n"/>
      <c r="E41" s="224" t="n"/>
      <c r="F41" s="224" t="n"/>
      <c r="G41" s="224" t="n"/>
      <c r="H41" s="224" t="n"/>
      <c r="I41" s="224" t="n"/>
    </row>
    <row r="42">
      <c r="A42" s="223" t="inlineStr">
        <is>
          <t>生物基礎</t>
        </is>
      </c>
      <c r="B42" s="224" t="n"/>
      <c r="C42" s="224" t="inlineStr">
        <is>
          <t>✓</t>
        </is>
      </c>
      <c r="D42" s="224" t="n"/>
      <c r="E42" s="224" t="n"/>
      <c r="F42" s="224" t="n"/>
      <c r="G42" s="224" t="n"/>
      <c r="H42" s="224" t="n"/>
      <c r="I42" s="224" t="n"/>
    </row>
    <row r="43">
      <c r="A43" s="223" t="inlineStr">
        <is>
          <t>公共・政経</t>
        </is>
      </c>
      <c r="B43" s="224" t="n"/>
      <c r="C43" s="224" t="inlineStr">
        <is>
          <t>✓</t>
        </is>
      </c>
      <c r="D43" s="224" t="n"/>
      <c r="E43" s="224" t="n"/>
      <c r="F43" s="224" t="n"/>
      <c r="G43" s="224" t="n"/>
      <c r="H43" s="224" t="n"/>
      <c r="I43" s="224" t="n"/>
    </row>
    <row r="44">
      <c r="A44" s="223" t="inlineStr">
        <is>
          <t>公共・倫理</t>
        </is>
      </c>
      <c r="B44" s="224" t="n"/>
      <c r="C44" s="224" t="n"/>
      <c r="D44" s="224" t="n"/>
      <c r="E44" s="224" t="n"/>
      <c r="F44" s="224" t="n"/>
      <c r="G44" s="224" t="n"/>
      <c r="H44" s="224" t="n"/>
      <c r="I44" s="224" t="n"/>
    </row>
    <row r="45">
      <c r="A45" s="223" t="inlineStr">
        <is>
          <t>情報Ⅰ</t>
        </is>
      </c>
      <c r="B45" s="224" t="n"/>
      <c r="C45" s="224" t="inlineStr">
        <is>
          <t>✓</t>
        </is>
      </c>
      <c r="D45" s="224" t="n"/>
      <c r="E45" s="224" t="inlineStr">
        <is>
          <t>✓</t>
        </is>
      </c>
      <c r="F45" s="224" t="n"/>
      <c r="G45" s="224" t="n"/>
      <c r="H45" s="224" t="n"/>
      <c r="I45" s="224" t="n"/>
    </row>
    <row r="47">
      <c r="A47" s="6" t="inlineStr">
        <is>
          <t>※ カリキュラムのレベル（難関/標準/基礎）は、志望校マスタの『レベル』列で決まります（偏差値との連動は今後検討）。</t>
        </is>
      </c>
    </row>
    <row r="52">
      <c r="A52" s="221" t="inlineStr">
        <is>
          <t>系統ごとの入試の目安（データシートに表示）</t>
        </is>
      </c>
    </row>
    <row r="53">
      <c r="A53" s="3" t="inlineStr">
        <is>
          <t>国立文系</t>
        </is>
      </c>
      <c r="B53" s="6" t="inlineStr">
        <is>
          <t>共通テスト（目安：英・数・国・地歴公民・理科基礎・情報）＋個別試験（英・数・国・地歴の記述）。9月から共通テスト対策を並行。</t>
        </is>
      </c>
    </row>
    <row r="54">
      <c r="A54" s="3" t="inlineStr">
        <is>
          <t>国立理系</t>
        </is>
      </c>
      <c r="B54" s="6" t="inlineStr">
        <is>
          <t>共通テスト（目安：英・数・国・理科2・地歴公民1・情報）＋個別試験（英・数・理科2の記述）。国語は共通テストで必要。</t>
        </is>
      </c>
    </row>
    <row r="55">
      <c r="A55" s="3" t="inlineStr">
        <is>
          <t>私大文系</t>
        </is>
      </c>
      <c r="B55" s="6" t="inlineStr">
        <is>
          <t>一般選抜（英・国・地歴 or 数学の3教科が中心）。共通テスト利用も受けるなら、データシートの共通テスト列に✓。</t>
        </is>
      </c>
    </row>
    <row r="56">
      <c r="A56" s="3" t="inlineStr">
        <is>
          <t>私大理系</t>
        </is>
      </c>
      <c r="B56" s="6" t="inlineStr">
        <is>
          <t>一般選抜（英・数・理科の3教科が中心）。共通テスト利用も受けるなら、データシートの共通テスト列に✓。</t>
        </is>
      </c>
    </row>
  </sheetData>
  <conditionalFormatting sqref="D13:D24">
    <cfRule type="expression" priority="1" dxfId="0" stopIfTrue="1">
      <formula>$D13="非表示"</formula>
    </cfRule>
  </conditionalFormatting>
  <dataValidations count="1">
    <dataValidation sqref="B29:I45" showDropDown="0" showInputMessage="0" showErrorMessage="0" allowBlank="1" type="list">
      <formula1>"✓"</formula1>
    </dataValidation>
  </dataValidations>
  <pageMargins left="0.7" right="0.7" top="0.75" bottom="0.75" header="0.3" footer="0.3"/>
  <drawing r:id="rIdBtn"/>
</worksheet>
</file>

<file path=xl/worksheets/sheet8.xml><?xml version="1.0" encoding="utf-8"?>
<worksheet xmlns="http://schemas.openxmlformats.org/spreadsheetml/2006/main">
  <sheetPr codeName="shUniv">
    <tabColor rgb="00BEC3CD"/>
    <outlinePr summaryBelow="1" summaryRight="1"/>
    <pageSetUpPr/>
  </sheetPr>
  <dimension ref="A1:J91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9" customWidth="1" style="466" min="2" max="2"/>
    <col width="11" customWidth="1" style="466" min="3" max="3"/>
    <col width="11" customWidth="1" style="466" min="4" max="4"/>
    <col width="10" customWidth="1" style="466" min="5" max="5"/>
    <col width="10" customWidth="1" style="466" min="6" max="6"/>
    <col width="8" customWidth="1" style="466" min="7" max="7"/>
    <col width="36" customWidth="1" style="466" min="8" max="8"/>
    <col width="50" customWidth="1" style="466" min="10" max="10"/>
  </cols>
  <sheetData>
    <row r="1" ht="30" customHeight="1" s="466">
      <c r="A1" s="846" t="inlineStr">
        <is>
          <t>大学名</t>
        </is>
      </c>
      <c r="B1" s="846" t="inlineStr">
        <is>
          <t>区分</t>
        </is>
      </c>
      <c r="C1" s="846" t="inlineStr">
        <is>
          <t>文系の目標偏差値</t>
        </is>
      </c>
      <c r="D1" s="846" t="inlineStr">
        <is>
          <t>理系の目標偏差値</t>
        </is>
      </c>
      <c r="E1" s="846" t="inlineStr">
        <is>
          <t>文系のレベル</t>
        </is>
      </c>
      <c r="F1" s="846" t="inlineStr">
        <is>
          <t>理系のレベル</t>
        </is>
      </c>
      <c r="G1" s="846" t="inlineStr">
        <is>
          <t>地域</t>
        </is>
      </c>
      <c r="H1" s="846" t="inlineStr">
        <is>
          <t>メモ（学部・方式など）</t>
        </is>
      </c>
      <c r="J1" s="847" t="inlineStr">
        <is>
          <t>※ カリキュラムのレベルは『文系のレベル』『理系のレベル』列（難関/標準/基礎）で決まります。初期値は目標偏差値から仮に付けたもの（60以上=難関、50以上=標準）なので、塾の判断で直してください。偏差値は大手予備校の公表値を参考にした『おおよその目安』（参考表示のみ）。行を追加すればデータシートの選択肢に出ます（200行目まで）。</t>
        </is>
      </c>
    </row>
    <row r="2">
      <c r="A2" s="848" t="inlineStr">
        <is>
          <t>東京大学</t>
        </is>
      </c>
      <c r="B2" s="848" t="inlineStr">
        <is>
          <t>国公立</t>
        </is>
      </c>
      <c r="C2" s="849" t="n">
        <v>70</v>
      </c>
      <c r="D2" s="849" t="n">
        <v>67.5</v>
      </c>
      <c r="E2" s="850" t="inlineStr">
        <is>
          <t>難関</t>
        </is>
      </c>
      <c r="F2" s="850" t="inlineStr">
        <is>
          <t>難関</t>
        </is>
      </c>
      <c r="G2" s="848" t="inlineStr">
        <is>
          <t>関東</t>
        </is>
      </c>
      <c r="H2" s="848" t="n"/>
    </row>
    <row r="3">
      <c r="A3" s="848" t="inlineStr">
        <is>
          <t>京都大学</t>
        </is>
      </c>
      <c r="B3" s="848" t="inlineStr">
        <is>
          <t>国公立</t>
        </is>
      </c>
      <c r="C3" s="849" t="n">
        <v>67.5</v>
      </c>
      <c r="D3" s="849" t="n">
        <v>65</v>
      </c>
      <c r="E3" s="850" t="inlineStr">
        <is>
          <t>難関</t>
        </is>
      </c>
      <c r="F3" s="850" t="inlineStr">
        <is>
          <t>難関</t>
        </is>
      </c>
      <c r="G3" s="848" t="inlineStr">
        <is>
          <t>関西</t>
        </is>
      </c>
      <c r="H3" s="848" t="n"/>
    </row>
    <row r="4">
      <c r="A4" s="848" t="inlineStr">
        <is>
          <t>一橋大学</t>
        </is>
      </c>
      <c r="B4" s="848" t="inlineStr">
        <is>
          <t>国公立</t>
        </is>
      </c>
      <c r="C4" s="849" t="n">
        <v>67.5</v>
      </c>
      <c r="D4" s="849" t="n"/>
      <c r="E4" s="850" t="inlineStr">
        <is>
          <t>難関</t>
        </is>
      </c>
      <c r="F4" s="850" t="n"/>
      <c r="G4" s="848" t="inlineStr">
        <is>
          <t>関東</t>
        </is>
      </c>
      <c r="H4" s="848" t="n"/>
    </row>
    <row r="5">
      <c r="A5" s="848" t="inlineStr">
        <is>
          <t>東京科学大学</t>
        </is>
      </c>
      <c r="B5" s="848" t="inlineStr">
        <is>
          <t>国公立</t>
        </is>
      </c>
      <c r="C5" s="849" t="n"/>
      <c r="D5" s="849" t="n">
        <v>65</v>
      </c>
      <c r="E5" s="850" t="n"/>
      <c r="F5" s="850" t="inlineStr">
        <is>
          <t>難関</t>
        </is>
      </c>
      <c r="G5" s="848" t="inlineStr">
        <is>
          <t>関東</t>
        </is>
      </c>
      <c r="H5" s="848" t="n"/>
    </row>
    <row r="6">
      <c r="A6" s="848" t="inlineStr">
        <is>
          <t>大阪大学</t>
        </is>
      </c>
      <c r="B6" s="848" t="inlineStr">
        <is>
          <t>国公立</t>
        </is>
      </c>
      <c r="C6" s="849" t="n">
        <v>62.5</v>
      </c>
      <c r="D6" s="849" t="n">
        <v>62.5</v>
      </c>
      <c r="E6" s="850" t="inlineStr">
        <is>
          <t>難関</t>
        </is>
      </c>
      <c r="F6" s="850" t="inlineStr">
        <is>
          <t>難関</t>
        </is>
      </c>
      <c r="G6" s="848" t="inlineStr">
        <is>
          <t>関西</t>
        </is>
      </c>
      <c r="H6" s="848" t="n"/>
    </row>
    <row r="7">
      <c r="A7" s="848" t="inlineStr">
        <is>
          <t>東北大学</t>
        </is>
      </c>
      <c r="B7" s="848" t="inlineStr">
        <is>
          <t>国公立</t>
        </is>
      </c>
      <c r="C7" s="849" t="n">
        <v>62.5</v>
      </c>
      <c r="D7" s="849" t="n">
        <v>60</v>
      </c>
      <c r="E7" s="850" t="inlineStr">
        <is>
          <t>難関</t>
        </is>
      </c>
      <c r="F7" s="850" t="inlineStr">
        <is>
          <t>難関</t>
        </is>
      </c>
      <c r="G7" s="848" t="inlineStr">
        <is>
          <t>東北</t>
        </is>
      </c>
      <c r="H7" s="848" t="n"/>
    </row>
    <row r="8">
      <c r="A8" s="848" t="inlineStr">
        <is>
          <t>名古屋大学</t>
        </is>
      </c>
      <c r="B8" s="848" t="inlineStr">
        <is>
          <t>国公立</t>
        </is>
      </c>
      <c r="C8" s="849" t="n">
        <v>62.5</v>
      </c>
      <c r="D8" s="849" t="n">
        <v>60</v>
      </c>
      <c r="E8" s="850" t="inlineStr">
        <is>
          <t>難関</t>
        </is>
      </c>
      <c r="F8" s="850" t="inlineStr">
        <is>
          <t>難関</t>
        </is>
      </c>
      <c r="G8" s="848" t="inlineStr">
        <is>
          <t>中部</t>
        </is>
      </c>
      <c r="H8" s="848" t="n"/>
    </row>
    <row r="9">
      <c r="A9" s="848" t="inlineStr">
        <is>
          <t>北海道大学</t>
        </is>
      </c>
      <c r="B9" s="848" t="inlineStr">
        <is>
          <t>国公立</t>
        </is>
      </c>
      <c r="C9" s="849" t="n">
        <v>60</v>
      </c>
      <c r="D9" s="849" t="n">
        <v>57.5</v>
      </c>
      <c r="E9" s="850" t="inlineStr">
        <is>
          <t>難関</t>
        </is>
      </c>
      <c r="F9" s="850" t="inlineStr">
        <is>
          <t>標準</t>
        </is>
      </c>
      <c r="G9" s="848" t="inlineStr">
        <is>
          <t>北海道</t>
        </is>
      </c>
      <c r="H9" s="848" t="n"/>
    </row>
    <row r="10">
      <c r="A10" s="848" t="inlineStr">
        <is>
          <t>九州大学</t>
        </is>
      </c>
      <c r="B10" s="848" t="inlineStr">
        <is>
          <t>国公立</t>
        </is>
      </c>
      <c r="C10" s="849" t="n">
        <v>60</v>
      </c>
      <c r="D10" s="849" t="n">
        <v>57.5</v>
      </c>
      <c r="E10" s="850" t="inlineStr">
        <is>
          <t>難関</t>
        </is>
      </c>
      <c r="F10" s="850" t="inlineStr">
        <is>
          <t>標準</t>
        </is>
      </c>
      <c r="G10" s="848" t="inlineStr">
        <is>
          <t>九州</t>
        </is>
      </c>
      <c r="H10" s="848" t="n"/>
    </row>
    <row r="11">
      <c r="A11" s="848" t="inlineStr">
        <is>
          <t>神戸大学</t>
        </is>
      </c>
      <c r="B11" s="848" t="inlineStr">
        <is>
          <t>国公立</t>
        </is>
      </c>
      <c r="C11" s="849" t="n">
        <v>62.5</v>
      </c>
      <c r="D11" s="849" t="n">
        <v>57.5</v>
      </c>
      <c r="E11" s="850" t="inlineStr">
        <is>
          <t>難関</t>
        </is>
      </c>
      <c r="F11" s="850" t="inlineStr">
        <is>
          <t>標準</t>
        </is>
      </c>
      <c r="G11" s="848" t="inlineStr">
        <is>
          <t>関西</t>
        </is>
      </c>
      <c r="H11" s="848" t="n"/>
    </row>
    <row r="12">
      <c r="A12" s="848" t="inlineStr">
        <is>
          <t>筑波大学</t>
        </is>
      </c>
      <c r="B12" s="848" t="inlineStr">
        <is>
          <t>国公立</t>
        </is>
      </c>
      <c r="C12" s="849" t="n">
        <v>62.5</v>
      </c>
      <c r="D12" s="849" t="n">
        <v>57.5</v>
      </c>
      <c r="E12" s="850" t="inlineStr">
        <is>
          <t>難関</t>
        </is>
      </c>
      <c r="F12" s="850" t="inlineStr">
        <is>
          <t>標準</t>
        </is>
      </c>
      <c r="G12" s="848" t="inlineStr">
        <is>
          <t>関東</t>
        </is>
      </c>
      <c r="H12" s="848" t="n"/>
    </row>
    <row r="13">
      <c r="A13" s="848" t="inlineStr">
        <is>
          <t>千葉大学</t>
        </is>
      </c>
      <c r="B13" s="848" t="inlineStr">
        <is>
          <t>国公立</t>
        </is>
      </c>
      <c r="C13" s="849" t="n">
        <v>60</v>
      </c>
      <c r="D13" s="849" t="n">
        <v>57.5</v>
      </c>
      <c r="E13" s="850" t="inlineStr">
        <is>
          <t>難関</t>
        </is>
      </c>
      <c r="F13" s="850" t="inlineStr">
        <is>
          <t>標準</t>
        </is>
      </c>
      <c r="G13" s="848" t="inlineStr">
        <is>
          <t>関東</t>
        </is>
      </c>
      <c r="H13" s="848" t="n"/>
    </row>
    <row r="14">
      <c r="A14" s="848" t="inlineStr">
        <is>
          <t>横浜国立大学</t>
        </is>
      </c>
      <c r="B14" s="848" t="inlineStr">
        <is>
          <t>国公立</t>
        </is>
      </c>
      <c r="C14" s="849" t="n">
        <v>62.5</v>
      </c>
      <c r="D14" s="849" t="n">
        <v>57.5</v>
      </c>
      <c r="E14" s="850" t="inlineStr">
        <is>
          <t>難関</t>
        </is>
      </c>
      <c r="F14" s="850" t="inlineStr">
        <is>
          <t>標準</t>
        </is>
      </c>
      <c r="G14" s="848" t="inlineStr">
        <is>
          <t>関東</t>
        </is>
      </c>
      <c r="H14" s="848" t="n"/>
    </row>
    <row r="15">
      <c r="A15" s="848" t="inlineStr">
        <is>
          <t>東京外国語大学</t>
        </is>
      </c>
      <c r="B15" s="848" t="inlineStr">
        <is>
          <t>国公立</t>
        </is>
      </c>
      <c r="C15" s="849" t="n">
        <v>65</v>
      </c>
      <c r="D15" s="849" t="n"/>
      <c r="E15" s="850" t="inlineStr">
        <is>
          <t>難関</t>
        </is>
      </c>
      <c r="F15" s="850" t="n"/>
      <c r="G15" s="848" t="inlineStr">
        <is>
          <t>関東</t>
        </is>
      </c>
      <c r="H15" s="848" t="n"/>
    </row>
    <row r="16">
      <c r="A16" s="848" t="inlineStr">
        <is>
          <t>お茶の水女子大学</t>
        </is>
      </c>
      <c r="B16" s="848" t="inlineStr">
        <is>
          <t>国公立</t>
        </is>
      </c>
      <c r="C16" s="849" t="n">
        <v>62.5</v>
      </c>
      <c r="D16" s="849" t="n">
        <v>57.5</v>
      </c>
      <c r="E16" s="850" t="inlineStr">
        <is>
          <t>難関</t>
        </is>
      </c>
      <c r="F16" s="850" t="inlineStr">
        <is>
          <t>標準</t>
        </is>
      </c>
      <c r="G16" s="848" t="inlineStr">
        <is>
          <t>関東</t>
        </is>
      </c>
      <c r="H16" s="848" t="n"/>
    </row>
    <row r="17">
      <c r="A17" s="848" t="inlineStr">
        <is>
          <t>東京学芸大学</t>
        </is>
      </c>
      <c r="B17" s="848" t="inlineStr">
        <is>
          <t>国公立</t>
        </is>
      </c>
      <c r="C17" s="849" t="n">
        <v>57.5</v>
      </c>
      <c r="D17" s="849" t="n">
        <v>55</v>
      </c>
      <c r="E17" s="850" t="inlineStr">
        <is>
          <t>標準</t>
        </is>
      </c>
      <c r="F17" s="850" t="inlineStr">
        <is>
          <t>標準</t>
        </is>
      </c>
      <c r="G17" s="848" t="inlineStr">
        <is>
          <t>関東</t>
        </is>
      </c>
      <c r="H17" s="848" t="n"/>
    </row>
    <row r="18">
      <c r="A18" s="848" t="inlineStr">
        <is>
          <t>東京都立大学</t>
        </is>
      </c>
      <c r="B18" s="848" t="inlineStr">
        <is>
          <t>国公立</t>
        </is>
      </c>
      <c r="C18" s="849" t="n">
        <v>60</v>
      </c>
      <c r="D18" s="849" t="n">
        <v>55</v>
      </c>
      <c r="E18" s="850" t="inlineStr">
        <is>
          <t>難関</t>
        </is>
      </c>
      <c r="F18" s="850" t="inlineStr">
        <is>
          <t>標準</t>
        </is>
      </c>
      <c r="G18" s="848" t="inlineStr">
        <is>
          <t>関東</t>
        </is>
      </c>
      <c r="H18" s="848" t="n"/>
    </row>
    <row r="19">
      <c r="A19" s="848" t="inlineStr">
        <is>
          <t>横浜市立大学</t>
        </is>
      </c>
      <c r="B19" s="848" t="inlineStr">
        <is>
          <t>国公立</t>
        </is>
      </c>
      <c r="C19" s="849" t="n">
        <v>60</v>
      </c>
      <c r="D19" s="849" t="n">
        <v>57.5</v>
      </c>
      <c r="E19" s="850" t="inlineStr">
        <is>
          <t>難関</t>
        </is>
      </c>
      <c r="F19" s="850" t="inlineStr">
        <is>
          <t>標準</t>
        </is>
      </c>
      <c r="G19" s="848" t="inlineStr">
        <is>
          <t>関東</t>
        </is>
      </c>
      <c r="H19" s="848" t="n"/>
    </row>
    <row r="20">
      <c r="A20" s="848" t="inlineStr">
        <is>
          <t>電気通信大学</t>
        </is>
      </c>
      <c r="B20" s="848" t="inlineStr">
        <is>
          <t>国公立</t>
        </is>
      </c>
      <c r="C20" s="849" t="n"/>
      <c r="D20" s="849" t="n">
        <v>55</v>
      </c>
      <c r="E20" s="850" t="n"/>
      <c r="F20" s="850" t="inlineStr">
        <is>
          <t>標準</t>
        </is>
      </c>
      <c r="G20" s="848" t="inlineStr">
        <is>
          <t>関東</t>
        </is>
      </c>
      <c r="H20" s="848" t="n"/>
    </row>
    <row r="21">
      <c r="A21" s="848" t="inlineStr">
        <is>
          <t>東京農工大学</t>
        </is>
      </c>
      <c r="B21" s="848" t="inlineStr">
        <is>
          <t>国公立</t>
        </is>
      </c>
      <c r="C21" s="849" t="n"/>
      <c r="D21" s="849" t="n">
        <v>57.5</v>
      </c>
      <c r="E21" s="850" t="n"/>
      <c r="F21" s="850" t="inlineStr">
        <is>
          <t>標準</t>
        </is>
      </c>
      <c r="G21" s="848" t="inlineStr">
        <is>
          <t>関東</t>
        </is>
      </c>
      <c r="H21" s="848" t="n"/>
    </row>
    <row r="22">
      <c r="A22" s="848" t="inlineStr">
        <is>
          <t>埼玉大学</t>
        </is>
      </c>
      <c r="B22" s="848" t="inlineStr">
        <is>
          <t>国公立</t>
        </is>
      </c>
      <c r="C22" s="849" t="n">
        <v>57.5</v>
      </c>
      <c r="D22" s="849" t="n">
        <v>52.5</v>
      </c>
      <c r="E22" s="850" t="inlineStr">
        <is>
          <t>標準</t>
        </is>
      </c>
      <c r="F22" s="850" t="inlineStr">
        <is>
          <t>標準</t>
        </is>
      </c>
      <c r="G22" s="848" t="inlineStr">
        <is>
          <t>関東</t>
        </is>
      </c>
      <c r="H22" s="848" t="n"/>
    </row>
    <row r="23">
      <c r="A23" s="848" t="inlineStr">
        <is>
          <t>群馬大学</t>
        </is>
      </c>
      <c r="B23" s="848" t="inlineStr">
        <is>
          <t>国公立</t>
        </is>
      </c>
      <c r="C23" s="849" t="n">
        <v>52.5</v>
      </c>
      <c r="D23" s="849" t="n">
        <v>52.5</v>
      </c>
      <c r="E23" s="850" t="inlineStr">
        <is>
          <t>標準</t>
        </is>
      </c>
      <c r="F23" s="850" t="inlineStr">
        <is>
          <t>標準</t>
        </is>
      </c>
      <c r="G23" s="848" t="inlineStr">
        <is>
          <t>関東</t>
        </is>
      </c>
      <c r="H23" s="848" t="n"/>
    </row>
    <row r="24">
      <c r="A24" s="848" t="inlineStr">
        <is>
          <t>群馬大学（医学部医学科）</t>
        </is>
      </c>
      <c r="B24" s="848" t="inlineStr">
        <is>
          <t>国公立</t>
        </is>
      </c>
      <c r="C24" s="849" t="n"/>
      <c r="D24" s="849" t="n">
        <v>65</v>
      </c>
      <c r="E24" s="850" t="n"/>
      <c r="F24" s="850" t="inlineStr">
        <is>
          <t>難関</t>
        </is>
      </c>
      <c r="G24" s="848" t="inlineStr">
        <is>
          <t>関東</t>
        </is>
      </c>
      <c r="H24" s="848" t="n"/>
    </row>
    <row r="25">
      <c r="A25" s="848" t="inlineStr">
        <is>
          <t>宇都宮大学</t>
        </is>
      </c>
      <c r="B25" s="848" t="inlineStr">
        <is>
          <t>国公立</t>
        </is>
      </c>
      <c r="C25" s="849" t="n">
        <v>52.5</v>
      </c>
      <c r="D25" s="849" t="n">
        <v>50</v>
      </c>
      <c r="E25" s="850" t="inlineStr">
        <is>
          <t>標準</t>
        </is>
      </c>
      <c r="F25" s="850" t="inlineStr">
        <is>
          <t>標準</t>
        </is>
      </c>
      <c r="G25" s="848" t="inlineStr">
        <is>
          <t>関東</t>
        </is>
      </c>
      <c r="H25" s="848" t="n"/>
    </row>
    <row r="26">
      <c r="A26" s="848" t="inlineStr">
        <is>
          <t>茨城大学</t>
        </is>
      </c>
      <c r="B26" s="848" t="inlineStr">
        <is>
          <t>国公立</t>
        </is>
      </c>
      <c r="C26" s="849" t="n">
        <v>52.5</v>
      </c>
      <c r="D26" s="849" t="n">
        <v>50</v>
      </c>
      <c r="E26" s="850" t="inlineStr">
        <is>
          <t>標準</t>
        </is>
      </c>
      <c r="F26" s="850" t="inlineStr">
        <is>
          <t>標準</t>
        </is>
      </c>
      <c r="G26" s="848" t="inlineStr">
        <is>
          <t>関東</t>
        </is>
      </c>
      <c r="H26" s="848" t="n"/>
    </row>
    <row r="27">
      <c r="A27" s="848" t="inlineStr">
        <is>
          <t>高崎経済大学</t>
        </is>
      </c>
      <c r="B27" s="848" t="inlineStr">
        <is>
          <t>国公立</t>
        </is>
      </c>
      <c r="C27" s="849" t="n">
        <v>55</v>
      </c>
      <c r="D27" s="849" t="n"/>
      <c r="E27" s="850" t="inlineStr">
        <is>
          <t>標準</t>
        </is>
      </c>
      <c r="F27" s="850" t="n"/>
      <c r="G27" s="848" t="inlineStr">
        <is>
          <t>関東</t>
        </is>
      </c>
      <c r="H27" s="848" t="n"/>
    </row>
    <row r="28">
      <c r="A28" s="848" t="inlineStr">
        <is>
          <t>前橋工科大学</t>
        </is>
      </c>
      <c r="B28" s="848" t="inlineStr">
        <is>
          <t>国公立</t>
        </is>
      </c>
      <c r="C28" s="849" t="n"/>
      <c r="D28" s="849" t="n">
        <v>50</v>
      </c>
      <c r="E28" s="850" t="n"/>
      <c r="F28" s="850" t="inlineStr">
        <is>
          <t>標準</t>
        </is>
      </c>
      <c r="G28" s="848" t="inlineStr">
        <is>
          <t>関東</t>
        </is>
      </c>
      <c r="H28" s="848" t="n"/>
    </row>
    <row r="29">
      <c r="A29" s="848" t="inlineStr">
        <is>
          <t>群馬県立女子大学</t>
        </is>
      </c>
      <c r="B29" s="848" t="inlineStr">
        <is>
          <t>国公立</t>
        </is>
      </c>
      <c r="C29" s="849" t="n">
        <v>52.5</v>
      </c>
      <c r="D29" s="849" t="n"/>
      <c r="E29" s="850" t="inlineStr">
        <is>
          <t>標準</t>
        </is>
      </c>
      <c r="F29" s="850" t="n"/>
      <c r="G29" s="848" t="inlineStr">
        <is>
          <t>関東</t>
        </is>
      </c>
      <c r="H29" s="848" t="n"/>
    </row>
    <row r="30">
      <c r="A30" s="848" t="inlineStr">
        <is>
          <t>群馬県立県民健康科学大学</t>
        </is>
      </c>
      <c r="B30" s="848" t="inlineStr">
        <is>
          <t>国公立</t>
        </is>
      </c>
      <c r="C30" s="849" t="n"/>
      <c r="D30" s="849" t="n">
        <v>50</v>
      </c>
      <c r="E30" s="850" t="n"/>
      <c r="F30" s="850" t="inlineStr">
        <is>
          <t>標準</t>
        </is>
      </c>
      <c r="G30" s="848" t="inlineStr">
        <is>
          <t>関東</t>
        </is>
      </c>
      <c r="H30" s="848" t="n"/>
    </row>
    <row r="31">
      <c r="A31" s="848" t="inlineStr">
        <is>
          <t>新潟大学</t>
        </is>
      </c>
      <c r="B31" s="848" t="inlineStr">
        <is>
          <t>国公立</t>
        </is>
      </c>
      <c r="C31" s="849" t="n">
        <v>55</v>
      </c>
      <c r="D31" s="849" t="n">
        <v>52.5</v>
      </c>
      <c r="E31" s="850" t="inlineStr">
        <is>
          <t>標準</t>
        </is>
      </c>
      <c r="F31" s="850" t="inlineStr">
        <is>
          <t>標準</t>
        </is>
      </c>
      <c r="G31" s="848" t="inlineStr">
        <is>
          <t>中部</t>
        </is>
      </c>
      <c r="H31" s="848" t="n"/>
    </row>
    <row r="32">
      <c r="A32" s="848" t="inlineStr">
        <is>
          <t>信州大学</t>
        </is>
      </c>
      <c r="B32" s="848" t="inlineStr">
        <is>
          <t>国公立</t>
        </is>
      </c>
      <c r="C32" s="849" t="n">
        <v>55</v>
      </c>
      <c r="D32" s="849" t="n">
        <v>52.5</v>
      </c>
      <c r="E32" s="850" t="inlineStr">
        <is>
          <t>標準</t>
        </is>
      </c>
      <c r="F32" s="850" t="inlineStr">
        <is>
          <t>標準</t>
        </is>
      </c>
      <c r="G32" s="848" t="inlineStr">
        <is>
          <t>中部</t>
        </is>
      </c>
      <c r="H32" s="848" t="n"/>
    </row>
    <row r="33">
      <c r="A33" s="848" t="inlineStr">
        <is>
          <t>金沢大学</t>
        </is>
      </c>
      <c r="B33" s="848" t="inlineStr">
        <is>
          <t>国公立</t>
        </is>
      </c>
      <c r="C33" s="849" t="n">
        <v>57.5</v>
      </c>
      <c r="D33" s="849" t="n">
        <v>55</v>
      </c>
      <c r="E33" s="850" t="inlineStr">
        <is>
          <t>標準</t>
        </is>
      </c>
      <c r="F33" s="850" t="inlineStr">
        <is>
          <t>標準</t>
        </is>
      </c>
      <c r="G33" s="848" t="inlineStr">
        <is>
          <t>中部</t>
        </is>
      </c>
      <c r="H33" s="848" t="n"/>
    </row>
    <row r="34">
      <c r="A34" s="848" t="inlineStr">
        <is>
          <t>静岡大学</t>
        </is>
      </c>
      <c r="B34" s="848" t="inlineStr">
        <is>
          <t>国公立</t>
        </is>
      </c>
      <c r="C34" s="849" t="n">
        <v>55</v>
      </c>
      <c r="D34" s="849" t="n">
        <v>50</v>
      </c>
      <c r="E34" s="850" t="inlineStr">
        <is>
          <t>標準</t>
        </is>
      </c>
      <c r="F34" s="850" t="inlineStr">
        <is>
          <t>標準</t>
        </is>
      </c>
      <c r="G34" s="848" t="inlineStr">
        <is>
          <t>中部</t>
        </is>
      </c>
      <c r="H34" s="848" t="n"/>
    </row>
    <row r="35">
      <c r="A35" s="848" t="inlineStr">
        <is>
          <t>山形大学</t>
        </is>
      </c>
      <c r="B35" s="848" t="inlineStr">
        <is>
          <t>国公立</t>
        </is>
      </c>
      <c r="C35" s="849" t="n">
        <v>50</v>
      </c>
      <c r="D35" s="849" t="n">
        <v>47.5</v>
      </c>
      <c r="E35" s="850" t="inlineStr">
        <is>
          <t>標準</t>
        </is>
      </c>
      <c r="F35" s="850" t="inlineStr">
        <is>
          <t>基礎</t>
        </is>
      </c>
      <c r="G35" s="848" t="inlineStr">
        <is>
          <t>東北</t>
        </is>
      </c>
      <c r="H35" s="848" t="n"/>
    </row>
    <row r="36">
      <c r="A36" s="848" t="inlineStr">
        <is>
          <t>福島大学</t>
        </is>
      </c>
      <c r="B36" s="848" t="inlineStr">
        <is>
          <t>国公立</t>
        </is>
      </c>
      <c r="C36" s="849" t="n">
        <v>50</v>
      </c>
      <c r="D36" s="849" t="n">
        <v>47.5</v>
      </c>
      <c r="E36" s="850" t="inlineStr">
        <is>
          <t>標準</t>
        </is>
      </c>
      <c r="F36" s="850" t="inlineStr">
        <is>
          <t>基礎</t>
        </is>
      </c>
      <c r="G36" s="848" t="inlineStr">
        <is>
          <t>東北</t>
        </is>
      </c>
      <c r="H36" s="848" t="n"/>
    </row>
    <row r="37">
      <c r="A37" s="848" t="inlineStr">
        <is>
          <t>名古屋市立大学</t>
        </is>
      </c>
      <c r="B37" s="848" t="inlineStr">
        <is>
          <t>国公立</t>
        </is>
      </c>
      <c r="C37" s="849" t="n">
        <v>57.5</v>
      </c>
      <c r="D37" s="849" t="n">
        <v>57.5</v>
      </c>
      <c r="E37" s="850" t="inlineStr">
        <is>
          <t>標準</t>
        </is>
      </c>
      <c r="F37" s="850" t="inlineStr">
        <is>
          <t>標準</t>
        </is>
      </c>
      <c r="G37" s="848" t="inlineStr">
        <is>
          <t>中部</t>
        </is>
      </c>
      <c r="H37" s="848" t="n"/>
    </row>
    <row r="38">
      <c r="A38" s="848" t="inlineStr">
        <is>
          <t>大阪公立大学</t>
        </is>
      </c>
      <c r="B38" s="848" t="inlineStr">
        <is>
          <t>国公立</t>
        </is>
      </c>
      <c r="C38" s="849" t="n">
        <v>60</v>
      </c>
      <c r="D38" s="849" t="n">
        <v>57.5</v>
      </c>
      <c r="E38" s="850" t="inlineStr">
        <is>
          <t>難関</t>
        </is>
      </c>
      <c r="F38" s="850" t="inlineStr">
        <is>
          <t>標準</t>
        </is>
      </c>
      <c r="G38" s="848" t="inlineStr">
        <is>
          <t>関西</t>
        </is>
      </c>
      <c r="H38" s="848" t="n"/>
    </row>
    <row r="39">
      <c r="A39" s="848" t="inlineStr">
        <is>
          <t>岡山大学</t>
        </is>
      </c>
      <c r="B39" s="848" t="inlineStr">
        <is>
          <t>国公立</t>
        </is>
      </c>
      <c r="C39" s="849" t="n">
        <v>57.5</v>
      </c>
      <c r="D39" s="849" t="n">
        <v>55</v>
      </c>
      <c r="E39" s="850" t="inlineStr">
        <is>
          <t>標準</t>
        </is>
      </c>
      <c r="F39" s="850" t="inlineStr">
        <is>
          <t>標準</t>
        </is>
      </c>
      <c r="G39" s="848" t="inlineStr">
        <is>
          <t>中国</t>
        </is>
      </c>
      <c r="H39" s="848" t="n"/>
    </row>
    <row r="40">
      <c r="A40" s="848" t="inlineStr">
        <is>
          <t>広島大学</t>
        </is>
      </c>
      <c r="B40" s="848" t="inlineStr">
        <is>
          <t>国公立</t>
        </is>
      </c>
      <c r="C40" s="849" t="n">
        <v>57.5</v>
      </c>
      <c r="D40" s="849" t="n">
        <v>55</v>
      </c>
      <c r="E40" s="850" t="inlineStr">
        <is>
          <t>標準</t>
        </is>
      </c>
      <c r="F40" s="850" t="inlineStr">
        <is>
          <t>標準</t>
        </is>
      </c>
      <c r="G40" s="848" t="inlineStr">
        <is>
          <t>中国</t>
        </is>
      </c>
      <c r="H40" s="848" t="n"/>
    </row>
    <row r="41">
      <c r="A41" s="848" t="inlineStr">
        <is>
          <t>早稲田大学</t>
        </is>
      </c>
      <c r="B41" s="848" t="inlineStr">
        <is>
          <t>私立</t>
        </is>
      </c>
      <c r="C41" s="849" t="n">
        <v>67.5</v>
      </c>
      <c r="D41" s="849" t="n">
        <v>65</v>
      </c>
      <c r="E41" s="850" t="inlineStr">
        <is>
          <t>難関</t>
        </is>
      </c>
      <c r="F41" s="850" t="inlineStr">
        <is>
          <t>難関</t>
        </is>
      </c>
      <c r="G41" s="848" t="inlineStr">
        <is>
          <t>関東</t>
        </is>
      </c>
      <c r="H41" s="848" t="n"/>
    </row>
    <row r="42">
      <c r="A42" s="848" t="inlineStr">
        <is>
          <t>慶應義塾大学</t>
        </is>
      </c>
      <c r="B42" s="848" t="inlineStr">
        <is>
          <t>私立</t>
        </is>
      </c>
      <c r="C42" s="849" t="n">
        <v>67.5</v>
      </c>
      <c r="D42" s="849" t="n">
        <v>65</v>
      </c>
      <c r="E42" s="850" t="inlineStr">
        <is>
          <t>難関</t>
        </is>
      </c>
      <c r="F42" s="850" t="inlineStr">
        <is>
          <t>難関</t>
        </is>
      </c>
      <c r="G42" s="848" t="inlineStr">
        <is>
          <t>関東</t>
        </is>
      </c>
      <c r="H42" s="848" t="n"/>
    </row>
    <row r="43">
      <c r="A43" s="848" t="inlineStr">
        <is>
          <t>上智大学</t>
        </is>
      </c>
      <c r="B43" s="848" t="inlineStr">
        <is>
          <t>私立</t>
        </is>
      </c>
      <c r="C43" s="849" t="n">
        <v>65</v>
      </c>
      <c r="D43" s="849" t="n">
        <v>60</v>
      </c>
      <c r="E43" s="850" t="inlineStr">
        <is>
          <t>難関</t>
        </is>
      </c>
      <c r="F43" s="850" t="inlineStr">
        <is>
          <t>難関</t>
        </is>
      </c>
      <c r="G43" s="848" t="inlineStr">
        <is>
          <t>関東</t>
        </is>
      </c>
      <c r="H43" s="848" t="n"/>
    </row>
    <row r="44">
      <c r="A44" s="848" t="inlineStr">
        <is>
          <t>国際基督教大学</t>
        </is>
      </c>
      <c r="B44" s="848" t="inlineStr">
        <is>
          <t>私立</t>
        </is>
      </c>
      <c r="C44" s="849" t="n">
        <v>65</v>
      </c>
      <c r="D44" s="849" t="n"/>
      <c r="E44" s="850" t="inlineStr">
        <is>
          <t>難関</t>
        </is>
      </c>
      <c r="F44" s="850" t="n"/>
      <c r="G44" s="848" t="inlineStr">
        <is>
          <t>関東</t>
        </is>
      </c>
      <c r="H44" s="848" t="n"/>
    </row>
    <row r="45">
      <c r="A45" s="848" t="inlineStr">
        <is>
          <t>東京理科大学</t>
        </is>
      </c>
      <c r="B45" s="848" t="inlineStr">
        <is>
          <t>私立</t>
        </is>
      </c>
      <c r="C45" s="849" t="n"/>
      <c r="D45" s="849" t="n">
        <v>60</v>
      </c>
      <c r="E45" s="850" t="n"/>
      <c r="F45" s="850" t="inlineStr">
        <is>
          <t>難関</t>
        </is>
      </c>
      <c r="G45" s="848" t="inlineStr">
        <is>
          <t>関東</t>
        </is>
      </c>
      <c r="H45" s="848" t="n"/>
    </row>
    <row r="46">
      <c r="A46" s="848" t="inlineStr">
        <is>
          <t>明治大学</t>
        </is>
      </c>
      <c r="B46" s="848" t="inlineStr">
        <is>
          <t>私立</t>
        </is>
      </c>
      <c r="C46" s="849" t="n">
        <v>62.5</v>
      </c>
      <c r="D46" s="849" t="n">
        <v>57.5</v>
      </c>
      <c r="E46" s="850" t="inlineStr">
        <is>
          <t>難関</t>
        </is>
      </c>
      <c r="F46" s="850" t="inlineStr">
        <is>
          <t>標準</t>
        </is>
      </c>
      <c r="G46" s="848" t="inlineStr">
        <is>
          <t>関東</t>
        </is>
      </c>
      <c r="H46" s="848" t="n"/>
    </row>
    <row r="47">
      <c r="A47" s="848" t="inlineStr">
        <is>
          <t>青山学院大学</t>
        </is>
      </c>
      <c r="B47" s="848" t="inlineStr">
        <is>
          <t>私立</t>
        </is>
      </c>
      <c r="C47" s="849" t="n">
        <v>62.5</v>
      </c>
      <c r="D47" s="849" t="n">
        <v>55</v>
      </c>
      <c r="E47" s="850" t="inlineStr">
        <is>
          <t>難関</t>
        </is>
      </c>
      <c r="F47" s="850" t="inlineStr">
        <is>
          <t>標準</t>
        </is>
      </c>
      <c r="G47" s="848" t="inlineStr">
        <is>
          <t>関東</t>
        </is>
      </c>
      <c r="H47" s="848" t="n"/>
    </row>
    <row r="48">
      <c r="A48" s="848" t="inlineStr">
        <is>
          <t>立教大学</t>
        </is>
      </c>
      <c r="B48" s="848" t="inlineStr">
        <is>
          <t>私立</t>
        </is>
      </c>
      <c r="C48" s="849" t="n">
        <v>62.5</v>
      </c>
      <c r="D48" s="849" t="n">
        <v>57.5</v>
      </c>
      <c r="E48" s="850" t="inlineStr">
        <is>
          <t>難関</t>
        </is>
      </c>
      <c r="F48" s="850" t="inlineStr">
        <is>
          <t>標準</t>
        </is>
      </c>
      <c r="G48" s="848" t="inlineStr">
        <is>
          <t>関東</t>
        </is>
      </c>
      <c r="H48" s="848" t="n"/>
    </row>
    <row r="49">
      <c r="A49" s="848" t="inlineStr">
        <is>
          <t>中央大学</t>
        </is>
      </c>
      <c r="B49" s="848" t="inlineStr">
        <is>
          <t>私立</t>
        </is>
      </c>
      <c r="C49" s="849" t="n">
        <v>60</v>
      </c>
      <c r="D49" s="849" t="n">
        <v>55</v>
      </c>
      <c r="E49" s="850" t="inlineStr">
        <is>
          <t>難関</t>
        </is>
      </c>
      <c r="F49" s="850" t="inlineStr">
        <is>
          <t>標準</t>
        </is>
      </c>
      <c r="G49" s="848" t="inlineStr">
        <is>
          <t>関東</t>
        </is>
      </c>
      <c r="H49" s="848" t="n"/>
    </row>
    <row r="50">
      <c r="A50" s="848" t="inlineStr">
        <is>
          <t>法政大学</t>
        </is>
      </c>
      <c r="B50" s="848" t="inlineStr">
        <is>
          <t>私立</t>
        </is>
      </c>
      <c r="C50" s="849" t="n">
        <v>60</v>
      </c>
      <c r="D50" s="849" t="n">
        <v>55</v>
      </c>
      <c r="E50" s="850" t="inlineStr">
        <is>
          <t>難関</t>
        </is>
      </c>
      <c r="F50" s="850" t="inlineStr">
        <is>
          <t>標準</t>
        </is>
      </c>
      <c r="G50" s="848" t="inlineStr">
        <is>
          <t>関東</t>
        </is>
      </c>
      <c r="H50" s="848" t="n"/>
    </row>
    <row r="51">
      <c r="A51" s="848" t="inlineStr">
        <is>
          <t>学習院大学</t>
        </is>
      </c>
      <c r="B51" s="848" t="inlineStr">
        <is>
          <t>私立</t>
        </is>
      </c>
      <c r="C51" s="849" t="n">
        <v>57.5</v>
      </c>
      <c r="D51" s="849" t="n">
        <v>55</v>
      </c>
      <c r="E51" s="850" t="inlineStr">
        <is>
          <t>標準</t>
        </is>
      </c>
      <c r="F51" s="850" t="inlineStr">
        <is>
          <t>標準</t>
        </is>
      </c>
      <c r="G51" s="848" t="inlineStr">
        <is>
          <t>関東</t>
        </is>
      </c>
      <c r="H51" s="848" t="n"/>
    </row>
    <row r="52">
      <c r="A52" s="848" t="inlineStr">
        <is>
          <t>津田塾大学</t>
        </is>
      </c>
      <c r="B52" s="848" t="inlineStr">
        <is>
          <t>私立</t>
        </is>
      </c>
      <c r="C52" s="849" t="n">
        <v>55</v>
      </c>
      <c r="D52" s="849" t="n">
        <v>52.5</v>
      </c>
      <c r="E52" s="850" t="inlineStr">
        <is>
          <t>標準</t>
        </is>
      </c>
      <c r="F52" s="850" t="inlineStr">
        <is>
          <t>標準</t>
        </is>
      </c>
      <c r="G52" s="848" t="inlineStr">
        <is>
          <t>関東</t>
        </is>
      </c>
      <c r="H52" s="848" t="n"/>
    </row>
    <row r="53">
      <c r="A53" s="848" t="inlineStr">
        <is>
          <t>成蹊大学</t>
        </is>
      </c>
      <c r="B53" s="848" t="inlineStr">
        <is>
          <t>私立</t>
        </is>
      </c>
      <c r="C53" s="849" t="n">
        <v>55</v>
      </c>
      <c r="D53" s="849" t="n">
        <v>52.5</v>
      </c>
      <c r="E53" s="850" t="inlineStr">
        <is>
          <t>標準</t>
        </is>
      </c>
      <c r="F53" s="850" t="inlineStr">
        <is>
          <t>標準</t>
        </is>
      </c>
      <c r="G53" s="848" t="inlineStr">
        <is>
          <t>関東</t>
        </is>
      </c>
      <c r="H53" s="848" t="n"/>
    </row>
    <row r="54">
      <c r="A54" s="848" t="inlineStr">
        <is>
          <t>成城大学</t>
        </is>
      </c>
      <c r="B54" s="848" t="inlineStr">
        <is>
          <t>私立</t>
        </is>
      </c>
      <c r="C54" s="849" t="n">
        <v>55</v>
      </c>
      <c r="D54" s="849" t="n"/>
      <c r="E54" s="850" t="inlineStr">
        <is>
          <t>標準</t>
        </is>
      </c>
      <c r="F54" s="850" t="n"/>
      <c r="G54" s="848" t="inlineStr">
        <is>
          <t>関東</t>
        </is>
      </c>
      <c r="H54" s="848" t="n"/>
    </row>
    <row r="55">
      <c r="A55" s="848" t="inlineStr">
        <is>
          <t>明治学院大学</t>
        </is>
      </c>
      <c r="B55" s="848" t="inlineStr">
        <is>
          <t>私立</t>
        </is>
      </c>
      <c r="C55" s="849" t="n">
        <v>55</v>
      </c>
      <c r="D55" s="849" t="n"/>
      <c r="E55" s="850" t="inlineStr">
        <is>
          <t>標準</t>
        </is>
      </c>
      <c r="F55" s="850" t="n"/>
      <c r="G55" s="848" t="inlineStr">
        <is>
          <t>関東</t>
        </is>
      </c>
      <c r="H55" s="848" t="n"/>
    </row>
    <row r="56">
      <c r="A56" s="848" t="inlineStr">
        <is>
          <t>國學院大學</t>
        </is>
      </c>
      <c r="B56" s="848" t="inlineStr">
        <is>
          <t>私立</t>
        </is>
      </c>
      <c r="C56" s="849" t="n">
        <v>55</v>
      </c>
      <c r="D56" s="849" t="n"/>
      <c r="E56" s="850" t="inlineStr">
        <is>
          <t>標準</t>
        </is>
      </c>
      <c r="F56" s="850" t="n"/>
      <c r="G56" s="848" t="inlineStr">
        <is>
          <t>関東</t>
        </is>
      </c>
      <c r="H56" s="848" t="n"/>
    </row>
    <row r="57">
      <c r="A57" s="848" t="inlineStr">
        <is>
          <t>武蔵大学</t>
        </is>
      </c>
      <c r="B57" s="848" t="inlineStr">
        <is>
          <t>私立</t>
        </is>
      </c>
      <c r="C57" s="849" t="n">
        <v>55</v>
      </c>
      <c r="D57" s="849" t="n"/>
      <c r="E57" s="850" t="inlineStr">
        <is>
          <t>標準</t>
        </is>
      </c>
      <c r="F57" s="850" t="n"/>
      <c r="G57" s="848" t="inlineStr">
        <is>
          <t>関東</t>
        </is>
      </c>
      <c r="H57" s="848" t="n"/>
    </row>
    <row r="58">
      <c r="A58" s="848" t="inlineStr">
        <is>
          <t>芝浦工業大学</t>
        </is>
      </c>
      <c r="B58" s="848" t="inlineStr">
        <is>
          <t>私立</t>
        </is>
      </c>
      <c r="C58" s="849" t="n"/>
      <c r="D58" s="849" t="n">
        <v>55</v>
      </c>
      <c r="E58" s="850" t="n"/>
      <c r="F58" s="850" t="inlineStr">
        <is>
          <t>標準</t>
        </is>
      </c>
      <c r="G58" s="848" t="inlineStr">
        <is>
          <t>関東</t>
        </is>
      </c>
      <c r="H58" s="848" t="n"/>
    </row>
    <row r="59">
      <c r="A59" s="848" t="inlineStr">
        <is>
          <t>獨協大学</t>
        </is>
      </c>
      <c r="B59" s="848" t="inlineStr">
        <is>
          <t>私立</t>
        </is>
      </c>
      <c r="C59" s="849" t="n">
        <v>52.5</v>
      </c>
      <c r="D59" s="849" t="n"/>
      <c r="E59" s="850" t="inlineStr">
        <is>
          <t>標準</t>
        </is>
      </c>
      <c r="F59" s="850" t="n"/>
      <c r="G59" s="848" t="inlineStr">
        <is>
          <t>関東</t>
        </is>
      </c>
      <c r="H59" s="848" t="n"/>
    </row>
    <row r="60">
      <c r="A60" s="848" t="inlineStr">
        <is>
          <t>日本女子大学</t>
        </is>
      </c>
      <c r="B60" s="848" t="inlineStr">
        <is>
          <t>私立</t>
        </is>
      </c>
      <c r="C60" s="849" t="n">
        <v>52.5</v>
      </c>
      <c r="D60" s="849" t="n">
        <v>50</v>
      </c>
      <c r="E60" s="850" t="inlineStr">
        <is>
          <t>標準</t>
        </is>
      </c>
      <c r="F60" s="850" t="inlineStr">
        <is>
          <t>標準</t>
        </is>
      </c>
      <c r="G60" s="848" t="inlineStr">
        <is>
          <t>関東</t>
        </is>
      </c>
      <c r="H60" s="848" t="n"/>
    </row>
    <row r="61">
      <c r="A61" s="848" t="inlineStr">
        <is>
          <t>東洋大学</t>
        </is>
      </c>
      <c r="B61" s="848" t="inlineStr">
        <is>
          <t>私立</t>
        </is>
      </c>
      <c r="C61" s="849" t="n">
        <v>52.5</v>
      </c>
      <c r="D61" s="849" t="n">
        <v>47.5</v>
      </c>
      <c r="E61" s="850" t="inlineStr">
        <is>
          <t>標準</t>
        </is>
      </c>
      <c r="F61" s="850" t="inlineStr">
        <is>
          <t>基礎</t>
        </is>
      </c>
      <c r="G61" s="848" t="inlineStr">
        <is>
          <t>関東</t>
        </is>
      </c>
      <c r="H61" s="848" t="n"/>
    </row>
    <row r="62">
      <c r="A62" s="848" t="inlineStr">
        <is>
          <t>駒澤大学</t>
        </is>
      </c>
      <c r="B62" s="848" t="inlineStr">
        <is>
          <t>私立</t>
        </is>
      </c>
      <c r="C62" s="849" t="n">
        <v>52.5</v>
      </c>
      <c r="D62" s="849" t="n"/>
      <c r="E62" s="850" t="inlineStr">
        <is>
          <t>標準</t>
        </is>
      </c>
      <c r="F62" s="850" t="n"/>
      <c r="G62" s="848" t="inlineStr">
        <is>
          <t>関東</t>
        </is>
      </c>
      <c r="H62" s="848" t="n"/>
    </row>
    <row r="63">
      <c r="A63" s="848" t="inlineStr">
        <is>
          <t>日本大学</t>
        </is>
      </c>
      <c r="B63" s="848" t="inlineStr">
        <is>
          <t>私立</t>
        </is>
      </c>
      <c r="C63" s="849" t="n">
        <v>50</v>
      </c>
      <c r="D63" s="849" t="n">
        <v>47.5</v>
      </c>
      <c r="E63" s="850" t="inlineStr">
        <is>
          <t>標準</t>
        </is>
      </c>
      <c r="F63" s="850" t="inlineStr">
        <is>
          <t>基礎</t>
        </is>
      </c>
      <c r="G63" s="848" t="inlineStr">
        <is>
          <t>関東</t>
        </is>
      </c>
      <c r="H63" s="848" t="n"/>
    </row>
    <row r="64">
      <c r="A64" s="848" t="inlineStr">
        <is>
          <t>専修大学</t>
        </is>
      </c>
      <c r="B64" s="848" t="inlineStr">
        <is>
          <t>私立</t>
        </is>
      </c>
      <c r="C64" s="849" t="n">
        <v>50</v>
      </c>
      <c r="D64" s="849" t="n"/>
      <c r="E64" s="850" t="inlineStr">
        <is>
          <t>標準</t>
        </is>
      </c>
      <c r="F64" s="850" t="n"/>
      <c r="G64" s="848" t="inlineStr">
        <is>
          <t>関東</t>
        </is>
      </c>
      <c r="H64" s="848" t="n"/>
    </row>
    <row r="65">
      <c r="A65" s="848" t="inlineStr">
        <is>
          <t>東京農業大学</t>
        </is>
      </c>
      <c r="B65" s="848" t="inlineStr">
        <is>
          <t>私立</t>
        </is>
      </c>
      <c r="C65" s="849" t="n"/>
      <c r="D65" s="849" t="n">
        <v>50</v>
      </c>
      <c r="E65" s="850" t="n"/>
      <c r="F65" s="850" t="inlineStr">
        <is>
          <t>標準</t>
        </is>
      </c>
      <c r="G65" s="848" t="inlineStr">
        <is>
          <t>関東</t>
        </is>
      </c>
      <c r="H65" s="848" t="n"/>
    </row>
    <row r="66">
      <c r="A66" s="848" t="inlineStr">
        <is>
          <t>東京都市大学</t>
        </is>
      </c>
      <c r="B66" s="848" t="inlineStr">
        <is>
          <t>私立</t>
        </is>
      </c>
      <c r="C66" s="849" t="n"/>
      <c r="D66" s="849" t="n">
        <v>50</v>
      </c>
      <c r="E66" s="850" t="n"/>
      <c r="F66" s="850" t="inlineStr">
        <is>
          <t>標準</t>
        </is>
      </c>
      <c r="G66" s="848" t="inlineStr">
        <is>
          <t>関東</t>
        </is>
      </c>
      <c r="H66" s="848" t="n"/>
    </row>
    <row r="67">
      <c r="A67" s="848" t="inlineStr">
        <is>
          <t>東京電機大学</t>
        </is>
      </c>
      <c r="B67" s="848" t="inlineStr">
        <is>
          <t>私立</t>
        </is>
      </c>
      <c r="C67" s="849" t="n"/>
      <c r="D67" s="849" t="n">
        <v>47.5</v>
      </c>
      <c r="E67" s="850" t="n"/>
      <c r="F67" s="850" t="inlineStr">
        <is>
          <t>基礎</t>
        </is>
      </c>
      <c r="G67" s="848" t="inlineStr">
        <is>
          <t>関東</t>
        </is>
      </c>
      <c r="H67" s="848" t="n"/>
    </row>
    <row r="68">
      <c r="A68" s="848" t="inlineStr">
        <is>
          <t>工学院大学</t>
        </is>
      </c>
      <c r="B68" s="848" t="inlineStr">
        <is>
          <t>私立</t>
        </is>
      </c>
      <c r="C68" s="849" t="n"/>
      <c r="D68" s="849" t="n">
        <v>47.5</v>
      </c>
      <c r="E68" s="850" t="n"/>
      <c r="F68" s="850" t="inlineStr">
        <is>
          <t>基礎</t>
        </is>
      </c>
      <c r="G68" s="848" t="inlineStr">
        <is>
          <t>関東</t>
        </is>
      </c>
      <c r="H68" s="848" t="n"/>
    </row>
    <row r="69">
      <c r="A69" s="848" t="inlineStr">
        <is>
          <t>文教大学</t>
        </is>
      </c>
      <c r="B69" s="848" t="inlineStr">
        <is>
          <t>私立</t>
        </is>
      </c>
      <c r="C69" s="849" t="n">
        <v>50</v>
      </c>
      <c r="D69" s="849" t="n"/>
      <c r="E69" s="850" t="inlineStr">
        <is>
          <t>標準</t>
        </is>
      </c>
      <c r="F69" s="850" t="n"/>
      <c r="G69" s="848" t="inlineStr">
        <is>
          <t>関東</t>
        </is>
      </c>
      <c r="H69" s="848" t="n"/>
    </row>
    <row r="70">
      <c r="A70" s="848" t="inlineStr">
        <is>
          <t>東京女子大学</t>
        </is>
      </c>
      <c r="B70" s="848" t="inlineStr">
        <is>
          <t>私立</t>
        </is>
      </c>
      <c r="C70" s="849" t="n">
        <v>50</v>
      </c>
      <c r="D70" s="849" t="n"/>
      <c r="E70" s="850" t="inlineStr">
        <is>
          <t>標準</t>
        </is>
      </c>
      <c r="F70" s="850" t="n"/>
      <c r="G70" s="848" t="inlineStr">
        <is>
          <t>関東</t>
        </is>
      </c>
      <c r="H70" s="848" t="n"/>
    </row>
    <row r="71">
      <c r="A71" s="848" t="inlineStr">
        <is>
          <t>大東文化大学</t>
        </is>
      </c>
      <c r="B71" s="848" t="inlineStr">
        <is>
          <t>私立</t>
        </is>
      </c>
      <c r="C71" s="849" t="n">
        <v>47.5</v>
      </c>
      <c r="D71" s="849" t="n"/>
      <c r="E71" s="850" t="inlineStr">
        <is>
          <t>基礎</t>
        </is>
      </c>
      <c r="F71" s="850" t="n"/>
      <c r="G71" s="848" t="inlineStr">
        <is>
          <t>関東</t>
        </is>
      </c>
      <c r="H71" s="848" t="n"/>
    </row>
    <row r="72">
      <c r="A72" s="848" t="inlineStr">
        <is>
          <t>亜細亜大学</t>
        </is>
      </c>
      <c r="B72" s="848" t="inlineStr">
        <is>
          <t>私立</t>
        </is>
      </c>
      <c r="C72" s="849" t="n">
        <v>47.5</v>
      </c>
      <c r="D72" s="849" t="n"/>
      <c r="E72" s="850" t="inlineStr">
        <is>
          <t>基礎</t>
        </is>
      </c>
      <c r="F72" s="850" t="n"/>
      <c r="G72" s="848" t="inlineStr">
        <is>
          <t>関東</t>
        </is>
      </c>
      <c r="H72" s="848" t="n"/>
    </row>
    <row r="73">
      <c r="A73" s="848" t="inlineStr">
        <is>
          <t>東海大学</t>
        </is>
      </c>
      <c r="B73" s="848" t="inlineStr">
        <is>
          <t>私立</t>
        </is>
      </c>
      <c r="C73" s="849" t="n">
        <v>47.5</v>
      </c>
      <c r="D73" s="849" t="n">
        <v>45</v>
      </c>
      <c r="E73" s="850" t="inlineStr">
        <is>
          <t>基礎</t>
        </is>
      </c>
      <c r="F73" s="850" t="inlineStr">
        <is>
          <t>基礎</t>
        </is>
      </c>
      <c r="G73" s="848" t="inlineStr">
        <is>
          <t>関東</t>
        </is>
      </c>
      <c r="H73" s="848" t="n"/>
    </row>
    <row r="74">
      <c r="A74" s="848" t="inlineStr">
        <is>
          <t>帝京大学</t>
        </is>
      </c>
      <c r="B74" s="848" t="inlineStr">
        <is>
          <t>私立</t>
        </is>
      </c>
      <c r="C74" s="849" t="n">
        <v>45</v>
      </c>
      <c r="D74" s="849" t="n">
        <v>45</v>
      </c>
      <c r="E74" s="850" t="inlineStr">
        <is>
          <t>基礎</t>
        </is>
      </c>
      <c r="F74" s="850" t="inlineStr">
        <is>
          <t>基礎</t>
        </is>
      </c>
      <c r="G74" s="848" t="inlineStr">
        <is>
          <t>関東</t>
        </is>
      </c>
      <c r="H74" s="848" t="n"/>
    </row>
    <row r="75">
      <c r="A75" s="848" t="inlineStr">
        <is>
          <t>千葉工業大学</t>
        </is>
      </c>
      <c r="B75" s="848" t="inlineStr">
        <is>
          <t>私立</t>
        </is>
      </c>
      <c r="C75" s="849" t="n"/>
      <c r="D75" s="849" t="n">
        <v>42.5</v>
      </c>
      <c r="E75" s="850" t="n"/>
      <c r="F75" s="850" t="inlineStr">
        <is>
          <t>基礎</t>
        </is>
      </c>
      <c r="G75" s="848" t="inlineStr">
        <is>
          <t>関東</t>
        </is>
      </c>
      <c r="H75" s="848" t="n"/>
    </row>
    <row r="76">
      <c r="A76" s="848" t="inlineStr">
        <is>
          <t>高崎健康福祉大学</t>
        </is>
      </c>
      <c r="B76" s="848" t="inlineStr">
        <is>
          <t>私立</t>
        </is>
      </c>
      <c r="C76" s="849" t="n">
        <v>45</v>
      </c>
      <c r="D76" s="849" t="n">
        <v>45</v>
      </c>
      <c r="E76" s="850" t="inlineStr">
        <is>
          <t>基礎</t>
        </is>
      </c>
      <c r="F76" s="850" t="inlineStr">
        <is>
          <t>基礎</t>
        </is>
      </c>
      <c r="G76" s="848" t="inlineStr">
        <is>
          <t>関東</t>
        </is>
      </c>
      <c r="H76" s="848" t="n"/>
    </row>
    <row r="77">
      <c r="A77" s="848" t="inlineStr">
        <is>
          <t>共愛学園前橋国際大学</t>
        </is>
      </c>
      <c r="B77" s="848" t="inlineStr">
        <is>
          <t>私立</t>
        </is>
      </c>
      <c r="C77" s="849" t="n">
        <v>45</v>
      </c>
      <c r="D77" s="849" t="n"/>
      <c r="E77" s="850" t="inlineStr">
        <is>
          <t>基礎</t>
        </is>
      </c>
      <c r="F77" s="850" t="n"/>
      <c r="G77" s="848" t="inlineStr">
        <is>
          <t>関東</t>
        </is>
      </c>
      <c r="H77" s="848" t="n"/>
    </row>
    <row r="78">
      <c r="A78" s="848" t="inlineStr">
        <is>
          <t>同志社大学</t>
        </is>
      </c>
      <c r="B78" s="848" t="inlineStr">
        <is>
          <t>私立</t>
        </is>
      </c>
      <c r="C78" s="849" t="n">
        <v>62.5</v>
      </c>
      <c r="D78" s="849" t="n">
        <v>57.5</v>
      </c>
      <c r="E78" s="850" t="inlineStr">
        <is>
          <t>難関</t>
        </is>
      </c>
      <c r="F78" s="850" t="inlineStr">
        <is>
          <t>標準</t>
        </is>
      </c>
      <c r="G78" s="848" t="inlineStr">
        <is>
          <t>関西</t>
        </is>
      </c>
      <c r="H78" s="848" t="n"/>
    </row>
    <row r="79">
      <c r="A79" s="848" t="inlineStr">
        <is>
          <t>立命館大学</t>
        </is>
      </c>
      <c r="B79" s="848" t="inlineStr">
        <is>
          <t>私立</t>
        </is>
      </c>
      <c r="C79" s="849" t="n">
        <v>57.5</v>
      </c>
      <c r="D79" s="849" t="n">
        <v>55</v>
      </c>
      <c r="E79" s="850" t="inlineStr">
        <is>
          <t>標準</t>
        </is>
      </c>
      <c r="F79" s="850" t="inlineStr">
        <is>
          <t>標準</t>
        </is>
      </c>
      <c r="G79" s="848" t="inlineStr">
        <is>
          <t>関西</t>
        </is>
      </c>
      <c r="H79" s="848" t="n"/>
    </row>
    <row r="80">
      <c r="A80" s="848" t="inlineStr">
        <is>
          <t>関西大学</t>
        </is>
      </c>
      <c r="B80" s="848" t="inlineStr">
        <is>
          <t>私立</t>
        </is>
      </c>
      <c r="C80" s="849" t="n">
        <v>57.5</v>
      </c>
      <c r="D80" s="849" t="n">
        <v>52.5</v>
      </c>
      <c r="E80" s="850" t="inlineStr">
        <is>
          <t>標準</t>
        </is>
      </c>
      <c r="F80" s="850" t="inlineStr">
        <is>
          <t>標準</t>
        </is>
      </c>
      <c r="G80" s="848" t="inlineStr">
        <is>
          <t>関西</t>
        </is>
      </c>
      <c r="H80" s="848" t="n"/>
    </row>
    <row r="81">
      <c r="A81" s="848" t="inlineStr">
        <is>
          <t>関西学院大学</t>
        </is>
      </c>
      <c r="B81" s="848" t="inlineStr">
        <is>
          <t>私立</t>
        </is>
      </c>
      <c r="C81" s="849" t="n">
        <v>57.5</v>
      </c>
      <c r="D81" s="849" t="n">
        <v>52.5</v>
      </c>
      <c r="E81" s="850" t="inlineStr">
        <is>
          <t>標準</t>
        </is>
      </c>
      <c r="F81" s="850" t="inlineStr">
        <is>
          <t>標準</t>
        </is>
      </c>
      <c r="G81" s="848" t="inlineStr">
        <is>
          <t>関西</t>
        </is>
      </c>
      <c r="H81" s="848" t="n"/>
    </row>
    <row r="82">
      <c r="A82" s="851" t="n"/>
      <c r="B82" s="851" t="n"/>
      <c r="C82" s="851" t="n"/>
      <c r="D82" s="851" t="n"/>
      <c r="E82" s="851" t="n"/>
      <c r="F82" s="851" t="n"/>
    </row>
    <row r="83">
      <c r="A83" s="851" t="n"/>
      <c r="B83" s="851" t="n"/>
      <c r="C83" s="851" t="n"/>
      <c r="D83" s="851" t="n"/>
      <c r="E83" s="851" t="n"/>
      <c r="F83" s="851" t="n"/>
    </row>
    <row r="84">
      <c r="A84" s="851" t="n"/>
      <c r="B84" s="851" t="n"/>
      <c r="C84" s="851" t="n"/>
      <c r="D84" s="851" t="n"/>
      <c r="E84" s="851" t="n"/>
      <c r="F84" s="851" t="n"/>
    </row>
    <row r="85">
      <c r="A85" s="851" t="n"/>
      <c r="B85" s="851" t="n"/>
      <c r="C85" s="851" t="n"/>
      <c r="D85" s="851" t="n"/>
      <c r="E85" s="851" t="n"/>
      <c r="F85" s="851" t="n"/>
    </row>
    <row r="86">
      <c r="A86" s="851" t="n"/>
      <c r="B86" s="851" t="n"/>
      <c r="C86" s="851" t="n"/>
      <c r="D86" s="851" t="n"/>
      <c r="E86" s="851" t="n"/>
      <c r="F86" s="851" t="n"/>
    </row>
    <row r="87">
      <c r="A87" s="851" t="n"/>
      <c r="B87" s="851" t="n"/>
      <c r="C87" s="851" t="n"/>
      <c r="D87" s="851" t="n"/>
      <c r="E87" s="851" t="n"/>
      <c r="F87" s="851" t="n"/>
    </row>
    <row r="88">
      <c r="A88" s="851" t="n"/>
      <c r="B88" s="851" t="n"/>
      <c r="C88" s="851" t="n"/>
      <c r="D88" s="851" t="n"/>
      <c r="E88" s="851" t="n"/>
      <c r="F88" s="851" t="n"/>
    </row>
    <row r="89">
      <c r="A89" s="851" t="n"/>
      <c r="B89" s="851" t="n"/>
      <c r="C89" s="851" t="n"/>
      <c r="D89" s="851" t="n"/>
      <c r="E89" s="851" t="n"/>
      <c r="F89" s="851" t="n"/>
    </row>
    <row r="90">
      <c r="A90" s="851" t="n"/>
      <c r="B90" s="851" t="n"/>
      <c r="C90" s="851" t="n"/>
      <c r="D90" s="851" t="n"/>
      <c r="E90" s="851" t="n"/>
      <c r="F90" s="851" t="n"/>
    </row>
    <row r="91">
      <c r="A91" s="851" t="n"/>
      <c r="B91" s="851" t="n"/>
      <c r="C91" s="851" t="n"/>
      <c r="D91" s="851" t="n"/>
      <c r="E91" s="851" t="n"/>
      <c r="F91" s="851" t="n"/>
    </row>
  </sheetData>
  <dataValidations count="2">
    <dataValidation sqref="B2:B200" showDropDown="0" showInputMessage="0" showErrorMessage="0" allowBlank="1" type="list">
      <formula1>"国公立,私立"</formula1>
    </dataValidation>
    <dataValidation sqref="E2:F200" showDropDown="0" showInputMessage="0" showErrorMessage="0" allowBlank="1" type="list">
      <formula1>"基礎,標準,難関"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Material">
    <tabColor rgb="00BEC3CD"/>
    <outlinePr summaryBelow="1" summaryRight="1"/>
    <pageSetUpPr/>
  </sheetPr>
  <dimension ref="A1:I54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44" customWidth="1" style="466" min="2" max="2"/>
    <col width="9" customWidth="1" style="466" min="3" max="3"/>
    <col width="9" customWidth="1" style="466" min="4" max="4"/>
    <col width="40" customWidth="1" style="466" min="5" max="5"/>
    <col width="12" customWidth="1" style="466" min="6" max="6"/>
    <col width="18" customWidth="1" style="466" min="7" max="7"/>
    <col width="50" customWidth="1" style="466" min="9" max="9"/>
  </cols>
  <sheetData>
    <row r="1" ht="30" customHeight="1" s="466">
      <c r="A1" s="846" t="inlineStr">
        <is>
          <t>照合キー（管理表の文言に含まれる語）</t>
        </is>
      </c>
      <c r="B1" s="846" t="inlineStr">
        <is>
          <t>教材名（出版社）</t>
        </is>
      </c>
      <c r="C1" s="846" t="inlineStr">
        <is>
          <t>教科</t>
        </is>
      </c>
      <c r="D1" s="846" t="inlineStr">
        <is>
          <t>目標（周）</t>
        </is>
      </c>
      <c r="E1" s="846" t="inlineStr">
        <is>
          <t>使い方・時期</t>
        </is>
      </c>
      <c r="F1" s="846" t="inlineStr">
        <is>
          <t>レベル</t>
        </is>
      </c>
      <c r="G1" s="846" t="inlineStr">
        <is>
          <t>区分</t>
        </is>
      </c>
      <c r="I1" s="847" t="inlineStr">
        <is>
          <t>※ 管理表の【家】の帯に『照合キー』が含まれると、模試・自学シート②の教材リストに自動で載ります。教材を差し替えるときは、カリキュラムDB の文言とこの表をセットで直してください。教材はすべて仮（要確認）。</t>
        </is>
      </c>
    </row>
    <row r="2">
      <c r="A2" s="848" t="inlineStr">
        <is>
          <t>ターゲット1400</t>
        </is>
      </c>
      <c r="B2" s="848" t="inlineStr">
        <is>
          <t>英単語ターゲット1400（旺文社）</t>
        </is>
      </c>
      <c r="C2" s="848" t="inlineStr">
        <is>
          <t>英語</t>
        </is>
      </c>
      <c r="D2" s="848" t="n">
        <v>10</v>
      </c>
      <c r="E2" s="848" t="inlineStr">
        <is>
          <t>毎週チェックテスト（PLATZメソッド）</t>
        </is>
      </c>
      <c r="F2" s="848" t="inlineStr">
        <is>
          <t>基礎</t>
        </is>
      </c>
      <c r="G2" s="848" t="inlineStr">
        <is>
          <t>家庭学習（塾推奨）</t>
        </is>
      </c>
    </row>
    <row r="3">
      <c r="A3" s="848" t="inlineStr">
        <is>
          <t>ターゲット1900</t>
        </is>
      </c>
      <c r="B3" s="848" t="inlineStr">
        <is>
          <t>英単語ターゲット1900（旺文社）</t>
        </is>
      </c>
      <c r="C3" s="848" t="inlineStr">
        <is>
          <t>英語</t>
        </is>
      </c>
      <c r="D3" s="848" t="n">
        <v>10</v>
      </c>
      <c r="E3" s="848" t="inlineStr">
        <is>
          <t>毎週チェックテスト（PLATZメソッド）。高2の1月から開始</t>
        </is>
      </c>
      <c r="F3" s="848" t="inlineStr">
        <is>
          <t>標準・難関</t>
        </is>
      </c>
      <c r="G3" s="848" t="inlineStr">
        <is>
          <t>家庭学習（塾推奨）</t>
        </is>
      </c>
    </row>
    <row r="4">
      <c r="A4" s="848" t="inlineStr">
        <is>
          <t>ドラゴン・イングリッシュ</t>
        </is>
      </c>
      <c r="B4" s="848" t="inlineStr">
        <is>
          <t>ドラゴン・イングリッシュ基本英文100（講談社）</t>
        </is>
      </c>
      <c r="C4" s="848" t="inlineStr">
        <is>
          <t>英語</t>
        </is>
      </c>
      <c r="D4" s="848" t="n">
        <v>5</v>
      </c>
      <c r="E4" s="848" t="inlineStr">
        <is>
          <t>英作文用の例文を暗唱（4月〜）</t>
        </is>
      </c>
      <c r="F4" s="848" t="inlineStr">
        <is>
          <t>難関（国立）</t>
        </is>
      </c>
      <c r="G4" s="848" t="inlineStr">
        <is>
          <t>家庭学習（塾推奨）</t>
        </is>
      </c>
    </row>
    <row r="5">
      <c r="A5" s="848" t="inlineStr">
        <is>
          <t>解体英熟語</t>
        </is>
      </c>
      <c r="B5" s="848" t="inlineStr">
        <is>
          <t>解体英熟語（Z会）</t>
        </is>
      </c>
      <c r="C5" s="848" t="inlineStr">
        <is>
          <t>英語</t>
        </is>
      </c>
      <c r="D5" s="848" t="n">
        <v>5</v>
      </c>
      <c r="E5" s="848" t="inlineStr">
        <is>
          <t>熟語の暗記。4月〜</t>
        </is>
      </c>
      <c r="F5" s="848" t="inlineStr">
        <is>
          <t>標準・難関</t>
        </is>
      </c>
      <c r="G5" s="848" t="inlineStr">
        <is>
          <t>家庭学習（塾推奨）</t>
        </is>
      </c>
    </row>
    <row r="6">
      <c r="A6" s="848" t="inlineStr">
        <is>
          <t>速読英単語 上級編</t>
        </is>
      </c>
      <c r="B6" s="848" t="inlineStr">
        <is>
          <t>速読英単語 上級編（Z会）</t>
        </is>
      </c>
      <c r="C6" s="848" t="inlineStr">
        <is>
          <t>英語</t>
        </is>
      </c>
      <c r="D6" s="848" t="n">
        <v>3</v>
      </c>
      <c r="E6" s="848" t="inlineStr">
        <is>
          <t>長文の音読と語彙。9月〜</t>
        </is>
      </c>
      <c r="F6" s="848" t="inlineStr">
        <is>
          <t>難関（私大）</t>
        </is>
      </c>
      <c r="G6" s="848" t="inlineStr">
        <is>
          <t>家庭学習（塾推奨）</t>
        </is>
      </c>
    </row>
    <row r="7">
      <c r="A7" s="848" t="inlineStr">
        <is>
          <t>大岩のいちばんはじめの英文法</t>
        </is>
      </c>
      <c r="B7" s="848" t="inlineStr">
        <is>
          <t>大岩のいちばんはじめの英文法【超基礎文法編】（ナガセ）</t>
        </is>
      </c>
      <c r="C7" s="848" t="inlineStr">
        <is>
          <t>英語</t>
        </is>
      </c>
      <c r="D7" s="848" t="n">
        <v>3</v>
      </c>
      <c r="E7" s="848" t="inlineStr">
        <is>
          <t>中学〜高1文法の総復習</t>
        </is>
      </c>
      <c r="F7" s="848" t="inlineStr">
        <is>
          <t>基礎</t>
        </is>
      </c>
      <c r="G7" s="848" t="inlineStr">
        <is>
          <t>塾の授業</t>
        </is>
      </c>
    </row>
    <row r="8">
      <c r="A8" s="848" t="inlineStr">
        <is>
          <t>Vintage</t>
        </is>
      </c>
      <c r="B8" s="848" t="inlineStr">
        <is>
          <t>英文法・語法 Vintage（いいずな書店）</t>
        </is>
      </c>
      <c r="C8" s="848" t="inlineStr">
        <is>
          <t>英語</t>
        </is>
      </c>
      <c r="D8" s="848" t="n">
        <v>5</v>
      </c>
      <c r="E8" s="848" t="inlineStr">
        <is>
          <t>文法・語法の基礎固め</t>
        </is>
      </c>
      <c r="F8" s="848" t="inlineStr">
        <is>
          <t>全</t>
        </is>
      </c>
      <c r="G8" s="848" t="inlineStr">
        <is>
          <t>塾の授業</t>
        </is>
      </c>
    </row>
    <row r="9">
      <c r="A9" s="848" t="inlineStr">
        <is>
          <t>入門英文解釈の技術70</t>
        </is>
      </c>
      <c r="B9" s="848" t="inlineStr">
        <is>
          <t>入門英文解釈の技術70（桐原書店）</t>
        </is>
      </c>
      <c r="C9" s="848" t="inlineStr">
        <is>
          <t>英語</t>
        </is>
      </c>
      <c r="D9" s="848" t="n">
        <v>3</v>
      </c>
      <c r="E9" s="848" t="inlineStr">
        <is>
          <t>精読の基礎</t>
        </is>
      </c>
      <c r="F9" s="848" t="inlineStr">
        <is>
          <t>基礎・標準</t>
        </is>
      </c>
      <c r="G9" s="848" t="inlineStr">
        <is>
          <t>塾の授業</t>
        </is>
      </c>
    </row>
    <row r="10">
      <c r="A10" s="848" t="inlineStr">
        <is>
          <t>基礎英文解釈の技術100</t>
        </is>
      </c>
      <c r="B10" s="848" t="inlineStr">
        <is>
          <t>基礎英文解釈の技術100（桐原書店）</t>
        </is>
      </c>
      <c r="C10" s="848" t="inlineStr">
        <is>
          <t>英語</t>
        </is>
      </c>
      <c r="D10" s="848" t="n">
        <v>3</v>
      </c>
      <c r="E10" s="848" t="inlineStr">
        <is>
          <t>精読（私大難関）</t>
        </is>
      </c>
      <c r="F10" s="848" t="inlineStr">
        <is>
          <t>難関（私大）</t>
        </is>
      </c>
      <c r="G10" s="848" t="inlineStr">
        <is>
          <t>塾の授業</t>
        </is>
      </c>
    </row>
    <row r="11">
      <c r="A11" s="848" t="inlineStr">
        <is>
          <t>ポレポレ</t>
        </is>
      </c>
      <c r="B11" s="848" t="inlineStr">
        <is>
          <t>ポレポレ英文読解プロセス50（代々木ライブラリー）</t>
        </is>
      </c>
      <c r="C11" s="848" t="inlineStr">
        <is>
          <t>英語</t>
        </is>
      </c>
      <c r="D11" s="848" t="n">
        <v>3</v>
      </c>
      <c r="E11" s="848" t="inlineStr">
        <is>
          <t>精読・和訳（国立難関）</t>
        </is>
      </c>
      <c r="F11" s="848" t="inlineStr">
        <is>
          <t>難関（国立）</t>
        </is>
      </c>
      <c r="G11" s="848" t="inlineStr">
        <is>
          <t>塾の授業</t>
        </is>
      </c>
    </row>
    <row r="12">
      <c r="A12" s="848" t="inlineStr">
        <is>
          <t>やっておきたい英語長文300</t>
        </is>
      </c>
      <c r="B12" s="848" t="inlineStr">
        <is>
          <t>やっておきたい英語長文300（河合出版）</t>
        </is>
      </c>
      <c r="C12" s="848" t="inlineStr">
        <is>
          <t>英語</t>
        </is>
      </c>
      <c r="D12" s="848" t="n">
        <v>2</v>
      </c>
      <c r="E12" s="848" t="inlineStr">
        <is>
          <t>長文の入門</t>
        </is>
      </c>
      <c r="F12" s="848" t="inlineStr">
        <is>
          <t>基礎</t>
        </is>
      </c>
      <c r="G12" s="848" t="inlineStr">
        <is>
          <t>塾の授業</t>
        </is>
      </c>
    </row>
    <row r="13">
      <c r="A13" s="848" t="inlineStr">
        <is>
          <t>やっておきたい英語長文500</t>
        </is>
      </c>
      <c r="B13" s="848" t="inlineStr">
        <is>
          <t>やっておきたい英語長文500（河合出版）</t>
        </is>
      </c>
      <c r="C13" s="848" t="inlineStr">
        <is>
          <t>英語</t>
        </is>
      </c>
      <c r="D13" s="848" t="n">
        <v>2</v>
      </c>
      <c r="E13" s="848" t="inlineStr">
        <is>
          <t>長文（内容説明・要約）</t>
        </is>
      </c>
      <c r="F13" s="848" t="inlineStr">
        <is>
          <t>標準・難関</t>
        </is>
      </c>
      <c r="G13" s="848" t="inlineStr">
        <is>
          <t>塾の授業</t>
        </is>
      </c>
    </row>
    <row r="14">
      <c r="A14" s="848" t="inlineStr">
        <is>
          <t>やっておきたい英語長文700</t>
        </is>
      </c>
      <c r="B14" s="848" t="inlineStr">
        <is>
          <t>やっておきたい英語長文700（河合出版）</t>
        </is>
      </c>
      <c r="C14" s="848" t="inlineStr">
        <is>
          <t>英語</t>
        </is>
      </c>
      <c r="D14" s="848" t="n">
        <v>2</v>
      </c>
      <c r="E14" s="848" t="inlineStr">
        <is>
          <t>長文（私大難関）</t>
        </is>
      </c>
      <c r="F14" s="848" t="inlineStr">
        <is>
          <t>難関（私大）</t>
        </is>
      </c>
      <c r="G14" s="848" t="inlineStr">
        <is>
          <t>塾の授業</t>
        </is>
      </c>
    </row>
    <row r="15">
      <c r="A15" s="848" t="inlineStr">
        <is>
          <t>白チャート</t>
        </is>
      </c>
      <c r="B15" s="848" t="inlineStr">
        <is>
          <t>チャート式 基礎と演習 数学ⅠA・ⅡBC（数研出版）</t>
        </is>
      </c>
      <c r="C15" s="848" t="inlineStr">
        <is>
          <t>数学</t>
        </is>
      </c>
      <c r="D15" s="848" t="n">
        <v>5</v>
      </c>
      <c r="E15" s="848" t="inlineStr">
        <is>
          <t>例題中心で基礎固め</t>
        </is>
      </c>
      <c r="F15" s="848" t="inlineStr">
        <is>
          <t>基礎</t>
        </is>
      </c>
      <c r="G15" s="848" t="inlineStr">
        <is>
          <t>塾の授業</t>
        </is>
      </c>
    </row>
    <row r="16">
      <c r="A16" s="848" t="inlineStr">
        <is>
          <t>黄チャート</t>
        </is>
      </c>
      <c r="B16" s="848" t="inlineStr">
        <is>
          <t>チャート式 解法と演習 数学ⅠA・ⅡBC・Ⅲ（数研出版）</t>
        </is>
      </c>
      <c r="C16" s="848" t="inlineStr">
        <is>
          <t>数学</t>
        </is>
      </c>
      <c r="D16" s="848" t="n">
        <v>3</v>
      </c>
      <c r="E16" s="848" t="inlineStr">
        <is>
          <t>重要例題</t>
        </is>
      </c>
      <c r="F16" s="848" t="inlineStr">
        <is>
          <t>基礎・標準</t>
        </is>
      </c>
      <c r="G16" s="848" t="inlineStr">
        <is>
          <t>塾の授業</t>
        </is>
      </c>
    </row>
    <row r="17">
      <c r="A17" s="848" t="inlineStr">
        <is>
          <t>青チャート</t>
        </is>
      </c>
      <c r="B17" s="848" t="inlineStr">
        <is>
          <t>チャート式 基礎からの数学ⅠA・ⅡBC・Ⅲ（数研出版）</t>
        </is>
      </c>
      <c r="C17" s="848" t="inlineStr">
        <is>
          <t>数学</t>
        </is>
      </c>
      <c r="D17" s="848" t="n">
        <v>3</v>
      </c>
      <c r="E17" s="848" t="inlineStr">
        <is>
          <t>例題★3〜4まで</t>
        </is>
      </c>
      <c r="F17" s="848" t="inlineStr">
        <is>
          <t>標準・難関</t>
        </is>
      </c>
      <c r="G17" s="848" t="inlineStr">
        <is>
          <t>塾の授業</t>
        </is>
      </c>
    </row>
    <row r="18">
      <c r="A18" s="848" t="inlineStr">
        <is>
          <t>1対1対応の演習</t>
        </is>
      </c>
      <c r="B18" s="848" t="inlineStr">
        <is>
          <t>1対1対応の演習（東京出版）</t>
        </is>
      </c>
      <c r="C18" s="848" t="inlineStr">
        <is>
          <t>数学</t>
        </is>
      </c>
      <c r="D18" s="848" t="n">
        <v>2</v>
      </c>
      <c r="E18" s="848" t="inlineStr">
        <is>
          <t>夏期の総仕上げ</t>
        </is>
      </c>
      <c r="F18" s="848" t="inlineStr">
        <is>
          <t>難関（理系）</t>
        </is>
      </c>
      <c r="G18" s="848" t="inlineStr">
        <is>
          <t>塾の授業</t>
        </is>
      </c>
    </row>
    <row r="19">
      <c r="A19" s="848" t="inlineStr">
        <is>
          <t>文系数学 入試の核心</t>
        </is>
      </c>
      <c r="B19" s="848" t="inlineStr">
        <is>
          <t>文系数学 入試の核心 標準編（Z会）</t>
        </is>
      </c>
      <c r="C19" s="848" t="inlineStr">
        <is>
          <t>数学</t>
        </is>
      </c>
      <c r="D19" s="848" t="n">
        <v>2</v>
      </c>
      <c r="E19" s="848" t="inlineStr">
        <is>
          <t>入試標準問題の演習</t>
        </is>
      </c>
      <c r="F19" s="848" t="inlineStr">
        <is>
          <t>標準（文系）</t>
        </is>
      </c>
      <c r="G19" s="848" t="inlineStr">
        <is>
          <t>塾の授業</t>
        </is>
      </c>
    </row>
    <row r="20">
      <c r="A20" s="848" t="inlineStr">
        <is>
          <t>理系数学 入試の核心</t>
        </is>
      </c>
      <c r="B20" s="848" t="inlineStr">
        <is>
          <t>理系数学 入試の核心 標準編（Z会）</t>
        </is>
      </c>
      <c r="C20" s="848" t="inlineStr">
        <is>
          <t>数学</t>
        </is>
      </c>
      <c r="D20" s="848" t="n">
        <v>2</v>
      </c>
      <c r="E20" s="848" t="inlineStr">
        <is>
          <t>入試標準問題の演習</t>
        </is>
      </c>
      <c r="F20" s="848" t="inlineStr">
        <is>
          <t>標準（理系）</t>
        </is>
      </c>
      <c r="G20" s="848" t="inlineStr">
        <is>
          <t>塾の授業</t>
        </is>
      </c>
    </row>
    <row r="21">
      <c r="A21" s="848" t="inlineStr">
        <is>
          <t>文系数学の良問プラチカ</t>
        </is>
      </c>
      <c r="B21" s="848" t="inlineStr">
        <is>
          <t>文系数学の良問プラチカ（河合出版）</t>
        </is>
      </c>
      <c r="C21" s="848" t="inlineStr">
        <is>
          <t>数学</t>
        </is>
      </c>
      <c r="D21" s="848" t="n">
        <v>2</v>
      </c>
      <c r="E21" s="848" t="inlineStr">
        <is>
          <t>難関大の演習</t>
        </is>
      </c>
      <c r="F21" s="848" t="inlineStr">
        <is>
          <t>難関（文系）</t>
        </is>
      </c>
      <c r="G21" s="848" t="inlineStr">
        <is>
          <t>塾の授業</t>
        </is>
      </c>
    </row>
    <row r="22">
      <c r="A22" s="848" t="inlineStr">
        <is>
          <t>理系数学の良問プラチカ</t>
        </is>
      </c>
      <c r="B22" s="848" t="inlineStr">
        <is>
          <t>理系数学の良問プラチカ（河合出版）</t>
        </is>
      </c>
      <c r="C22" s="848" t="inlineStr">
        <is>
          <t>数学</t>
        </is>
      </c>
      <c r="D22" s="848" t="n">
        <v>2</v>
      </c>
      <c r="E22" s="848" t="inlineStr">
        <is>
          <t>難関大の演習</t>
        </is>
      </c>
      <c r="F22" s="848" t="inlineStr">
        <is>
          <t>難関（理系）</t>
        </is>
      </c>
      <c r="G22" s="848" t="inlineStr">
        <is>
          <t>塾の授業</t>
        </is>
      </c>
    </row>
    <row r="23">
      <c r="A23" s="848" t="inlineStr">
        <is>
          <t>基礎問題精講</t>
        </is>
      </c>
      <c r="B23" s="848" t="inlineStr">
        <is>
          <t>入試数学の基礎問題精講 ⅠA・ⅡBC（・Ⅲ）（旺文社）</t>
        </is>
      </c>
      <c r="C23" s="848" t="inlineStr">
        <is>
          <t>数学</t>
        </is>
      </c>
      <c r="D23" s="848" t="n">
        <v>10</v>
      </c>
      <c r="E23" s="848" t="inlineStr">
        <is>
          <t>1冊を極める・最低10周（PLATZメソッド）</t>
        </is>
      </c>
      <c r="F23" s="848" t="inlineStr">
        <is>
          <t>全</t>
        </is>
      </c>
      <c r="G23" s="848" t="inlineStr">
        <is>
          <t>家庭学習（塾推奨）</t>
        </is>
      </c>
    </row>
    <row r="24">
      <c r="A24" s="848" t="inlineStr">
        <is>
          <t>標準問題精講</t>
        </is>
      </c>
      <c r="B24" s="848" t="inlineStr">
        <is>
          <t>数学 標準問題精講（旺文社）</t>
        </is>
      </c>
      <c r="C24" s="848" t="inlineStr">
        <is>
          <t>数学</t>
        </is>
      </c>
      <c r="D24" s="848" t="n">
        <v>3</v>
      </c>
      <c r="E24" s="848" t="inlineStr">
        <is>
          <t>基礎問題精講の次</t>
        </is>
      </c>
      <c r="F24" s="848" t="inlineStr">
        <is>
          <t>標準・難関（理系）</t>
        </is>
      </c>
      <c r="G24" s="848" t="inlineStr">
        <is>
          <t>家庭学習（塾推奨）</t>
        </is>
      </c>
    </row>
    <row r="25">
      <c r="A25" s="848" t="inlineStr">
        <is>
          <t>やさしい理系数学</t>
        </is>
      </c>
      <c r="B25" s="848" t="inlineStr">
        <is>
          <t>やさしい理系数学（河合出版）</t>
        </is>
      </c>
      <c r="C25" s="848" t="inlineStr">
        <is>
          <t>数学</t>
        </is>
      </c>
      <c r="D25" s="848" t="n">
        <v>2</v>
      </c>
      <c r="E25" s="848" t="inlineStr">
        <is>
          <t>難関理系の仕上げ</t>
        </is>
      </c>
      <c r="F25" s="848" t="inlineStr">
        <is>
          <t>難関（理系）</t>
        </is>
      </c>
      <c r="G25" s="848" t="inlineStr">
        <is>
          <t>家庭学習（塾推奨）</t>
        </is>
      </c>
    </row>
    <row r="26">
      <c r="A26" s="848" t="inlineStr">
        <is>
          <t>現代文キーワード読解</t>
        </is>
      </c>
      <c r="B26" s="848" t="inlineStr">
        <is>
          <t>現代文キーワード読解（Z会）</t>
        </is>
      </c>
      <c r="C26" s="848" t="inlineStr">
        <is>
          <t>国語</t>
        </is>
      </c>
      <c r="D26" s="848" t="n">
        <v>3</v>
      </c>
      <c r="E26" s="848" t="inlineStr">
        <is>
          <t>評論の頻出語を毎週</t>
        </is>
      </c>
      <c r="F26" s="848" t="inlineStr">
        <is>
          <t>全</t>
        </is>
      </c>
      <c r="G26" s="848" t="inlineStr">
        <is>
          <t>家庭学習（塾推奨）</t>
        </is>
      </c>
    </row>
    <row r="27">
      <c r="A27" s="848" t="inlineStr">
        <is>
          <t>入試現代文へのアクセス</t>
        </is>
      </c>
      <c r="B27" s="848" t="inlineStr">
        <is>
          <t>入試現代文へのアクセス（河合出版）</t>
        </is>
      </c>
      <c r="C27" s="848" t="inlineStr">
        <is>
          <t>国語</t>
        </is>
      </c>
      <c r="D27" s="848" t="n">
        <v>2</v>
      </c>
      <c r="E27" s="848" t="inlineStr">
        <is>
          <t>読解の型づくり</t>
        </is>
      </c>
      <c r="F27" s="848" t="inlineStr">
        <is>
          <t>基礎・標準</t>
        </is>
      </c>
      <c r="G27" s="848" t="inlineStr">
        <is>
          <t>塾の授業</t>
        </is>
      </c>
    </row>
    <row r="28">
      <c r="A28" s="848" t="inlineStr">
        <is>
          <t>得点奪取現代文</t>
        </is>
      </c>
      <c r="B28" s="848" t="inlineStr">
        <is>
          <t>得点奪取現代文（河合出版）</t>
        </is>
      </c>
      <c r="C28" s="848" t="inlineStr">
        <is>
          <t>国語</t>
        </is>
      </c>
      <c r="D28" s="848" t="n">
        <v>2</v>
      </c>
      <c r="E28" s="848" t="inlineStr">
        <is>
          <t>記述対策</t>
        </is>
      </c>
      <c r="F28" s="848" t="inlineStr">
        <is>
          <t>標準（国立）</t>
        </is>
      </c>
      <c r="G28" s="848" t="inlineStr">
        <is>
          <t>塾の授業</t>
        </is>
      </c>
    </row>
    <row r="29">
      <c r="A29" s="848" t="inlineStr">
        <is>
          <t>現代文と格闘する</t>
        </is>
      </c>
      <c r="B29" s="848" t="inlineStr">
        <is>
          <t>現代文と格闘する（河合出版）</t>
        </is>
      </c>
      <c r="C29" s="848" t="inlineStr">
        <is>
          <t>国語</t>
        </is>
      </c>
      <c r="D29" s="848" t="n">
        <v>2</v>
      </c>
      <c r="E29" s="848" t="inlineStr">
        <is>
          <t>記述答案づくり</t>
        </is>
      </c>
      <c r="F29" s="848" t="inlineStr">
        <is>
          <t>難関</t>
        </is>
      </c>
      <c r="G29" s="848" t="inlineStr">
        <is>
          <t>塾の授業</t>
        </is>
      </c>
    </row>
    <row r="30">
      <c r="A30" s="848" t="inlineStr">
        <is>
          <t>ステップアップノート30</t>
        </is>
      </c>
      <c r="B30" s="848" t="inlineStr">
        <is>
          <t>古文文法 ステップアップノート30（河合出版）</t>
        </is>
      </c>
      <c r="C30" s="848" t="inlineStr">
        <is>
          <t>国語</t>
        </is>
      </c>
      <c r="D30" s="848" t="n">
        <v>3</v>
      </c>
      <c r="E30" s="848" t="inlineStr">
        <is>
          <t>古文文法</t>
        </is>
      </c>
      <c r="F30" s="848" t="inlineStr">
        <is>
          <t>基礎</t>
        </is>
      </c>
      <c r="G30" s="848" t="inlineStr">
        <is>
          <t>塾の授業</t>
        </is>
      </c>
    </row>
    <row r="31">
      <c r="A31" s="848" t="inlineStr">
        <is>
          <t>古文上達</t>
        </is>
      </c>
      <c r="B31" s="848" t="inlineStr">
        <is>
          <t>古文上達 基礎編 読解と演習45（Z会）</t>
        </is>
      </c>
      <c r="C31" s="848" t="inlineStr">
        <is>
          <t>国語</t>
        </is>
      </c>
      <c r="D31" s="848" t="n">
        <v>3</v>
      </c>
      <c r="E31" s="848" t="inlineStr">
        <is>
          <t>文法と読解</t>
        </is>
      </c>
      <c r="F31" s="848" t="inlineStr">
        <is>
          <t>標準・難関</t>
        </is>
      </c>
      <c r="G31" s="848" t="inlineStr">
        <is>
          <t>塾の授業</t>
        </is>
      </c>
    </row>
    <row r="32">
      <c r="A32" s="848" t="inlineStr">
        <is>
          <t>重要古文単語315</t>
        </is>
      </c>
      <c r="B32" s="848" t="inlineStr">
        <is>
          <t>読んで見て覚える重要古文単語315（桐原書店）</t>
        </is>
      </c>
      <c r="C32" s="848" t="inlineStr">
        <is>
          <t>国語</t>
        </is>
      </c>
      <c r="D32" s="848" t="n">
        <v>10</v>
      </c>
      <c r="E32" s="848" t="inlineStr">
        <is>
          <t>1月〜6月で一通り、以降は毎日復習</t>
        </is>
      </c>
      <c r="F32" s="848" t="inlineStr">
        <is>
          <t>全</t>
        </is>
      </c>
      <c r="G32" s="848" t="inlineStr">
        <is>
          <t>家庭学習（塾推奨）</t>
        </is>
      </c>
    </row>
    <row r="33">
      <c r="A33" s="848" t="inlineStr">
        <is>
          <t>漢文早覚え速答法</t>
        </is>
      </c>
      <c r="B33" s="848" t="inlineStr">
        <is>
          <t>漢文早覚え速答法（学研）</t>
        </is>
      </c>
      <c r="C33" s="848" t="inlineStr">
        <is>
          <t>国語</t>
        </is>
      </c>
      <c r="D33" s="848" t="n">
        <v>5</v>
      </c>
      <c r="E33" s="848" t="inlineStr">
        <is>
          <t>句法の暗記</t>
        </is>
      </c>
      <c r="F33" s="848" t="inlineStr">
        <is>
          <t>全</t>
        </is>
      </c>
      <c r="G33" s="848" t="inlineStr">
        <is>
          <t>家庭学習（塾推奨）</t>
        </is>
      </c>
    </row>
    <row r="34">
      <c r="A34" s="848" t="inlineStr">
        <is>
          <t>詳説日本史ノート</t>
        </is>
      </c>
      <c r="B34" s="848" t="inlineStr">
        <is>
          <t>詳説日本史ノート（山川出版社）</t>
        </is>
      </c>
      <c r="C34" s="848" t="inlineStr">
        <is>
          <t>地歴公民</t>
        </is>
      </c>
      <c r="D34" s="848" t="n">
        <v>3</v>
      </c>
      <c r="E34" s="848" t="inlineStr">
        <is>
          <t>授業の復習・穴埋め</t>
        </is>
      </c>
      <c r="F34" s="848" t="inlineStr">
        <is>
          <t>基礎</t>
        </is>
      </c>
      <c r="G34" s="848" t="inlineStr">
        <is>
          <t>家庭学習（塾推奨）</t>
        </is>
      </c>
    </row>
    <row r="35">
      <c r="A35" s="848" t="inlineStr">
        <is>
          <t>日本史一問一答</t>
        </is>
      </c>
      <c r="B35" s="848" t="inlineStr">
        <is>
          <t>日本史一問一答【完全版】（東進ブックス）</t>
        </is>
      </c>
      <c r="C35" s="848" t="inlineStr">
        <is>
          <t>地歴公民</t>
        </is>
      </c>
      <c r="D35" s="848" t="n">
        <v>5</v>
      </c>
      <c r="E35" s="848" t="inlineStr">
        <is>
          <t>授業（日本史講座）の復習に使う</t>
        </is>
      </c>
      <c r="F35" s="848" t="inlineStr">
        <is>
          <t>標準・難関</t>
        </is>
      </c>
      <c r="G35" s="848" t="inlineStr">
        <is>
          <t>家庭学習（塾推奨）</t>
        </is>
      </c>
    </row>
    <row r="36">
      <c r="A36" s="848" t="inlineStr">
        <is>
          <t>詳説世界史ノート</t>
        </is>
      </c>
      <c r="B36" s="848" t="inlineStr">
        <is>
          <t>詳説世界史ノート（山川出版社）</t>
        </is>
      </c>
      <c r="C36" s="848" t="inlineStr">
        <is>
          <t>地歴公民</t>
        </is>
      </c>
      <c r="D36" s="848" t="n">
        <v>3</v>
      </c>
      <c r="E36" s="848" t="inlineStr">
        <is>
          <t>授業の復習・穴埋め</t>
        </is>
      </c>
      <c r="F36" s="848" t="inlineStr">
        <is>
          <t>基礎</t>
        </is>
      </c>
      <c r="G36" s="848" t="inlineStr">
        <is>
          <t>家庭学習（塾推奨）</t>
        </is>
      </c>
    </row>
    <row r="37">
      <c r="A37" s="848" t="inlineStr">
        <is>
          <t>世界史一問一答</t>
        </is>
      </c>
      <c r="B37" s="848" t="inlineStr">
        <is>
          <t>世界史一問一答【完全版】（東進ブックス）</t>
        </is>
      </c>
      <c r="C37" s="848" t="inlineStr">
        <is>
          <t>地歴公民</t>
        </is>
      </c>
      <c r="D37" s="848" t="n">
        <v>5</v>
      </c>
      <c r="E37" s="848" t="inlineStr">
        <is>
          <t>授業（世界史講座）の復習に使う</t>
        </is>
      </c>
      <c r="F37" s="848" t="inlineStr">
        <is>
          <t>標準・難関</t>
        </is>
      </c>
      <c r="G37" s="848" t="inlineStr">
        <is>
          <t>家庭学習（塾推奨）</t>
        </is>
      </c>
    </row>
    <row r="38">
      <c r="A38" s="848" t="inlineStr">
        <is>
          <t>実況中継</t>
        </is>
      </c>
      <c r="B38" s="848" t="inlineStr">
        <is>
          <t>地理総合，地理探究 実況中継（語学春秋社）</t>
        </is>
      </c>
      <c r="C38" s="848" t="inlineStr">
        <is>
          <t>地歴公民</t>
        </is>
      </c>
      <c r="D38" s="848" t="n">
        <v>3</v>
      </c>
      <c r="E38" s="848" t="inlineStr">
        <is>
          <t>授業の復習</t>
        </is>
      </c>
      <c r="F38" s="848" t="inlineStr">
        <is>
          <t>全</t>
        </is>
      </c>
      <c r="G38" s="848" t="inlineStr">
        <is>
          <t>家庭学習（塾推奨）</t>
        </is>
      </c>
    </row>
    <row r="39">
      <c r="A39" s="848" t="inlineStr">
        <is>
          <t>宇宙一わかりやすい高校物理</t>
        </is>
      </c>
      <c r="B39" s="848" t="inlineStr">
        <is>
          <t>宇宙一わかりやすい高校物理（学研）</t>
        </is>
      </c>
      <c r="C39" s="848" t="inlineStr">
        <is>
          <t>理科</t>
        </is>
      </c>
      <c r="D39" s="848" t="n">
        <v>3</v>
      </c>
      <c r="E39" s="848" t="inlineStr">
        <is>
          <t>物理の入門</t>
        </is>
      </c>
      <c r="F39" s="848" t="inlineStr">
        <is>
          <t>基礎</t>
        </is>
      </c>
      <c r="G39" s="848" t="inlineStr">
        <is>
          <t>家庭学習（塾推奨）</t>
        </is>
      </c>
    </row>
    <row r="40">
      <c r="A40" s="848" t="inlineStr">
        <is>
          <t>物理のエッセンス</t>
        </is>
      </c>
      <c r="B40" s="848" t="inlineStr">
        <is>
          <t>物理のエッセンス（河合出版）</t>
        </is>
      </c>
      <c r="C40" s="848" t="inlineStr">
        <is>
          <t>理科</t>
        </is>
      </c>
      <c r="D40" s="848" t="n">
        <v>5</v>
      </c>
      <c r="E40" s="848" t="inlineStr">
        <is>
          <t>公式の使い方と典型問題</t>
        </is>
      </c>
      <c r="F40" s="848" t="inlineStr">
        <is>
          <t>基礎・標準</t>
        </is>
      </c>
      <c r="G40" s="848" t="inlineStr">
        <is>
          <t>家庭学習（塾推奨）</t>
        </is>
      </c>
    </row>
    <row r="41">
      <c r="A41" s="848" t="inlineStr">
        <is>
          <t>良問の風</t>
        </is>
      </c>
      <c r="B41" s="848" t="inlineStr">
        <is>
          <t>良問の風 物理（河合出版）</t>
        </is>
      </c>
      <c r="C41" s="848" t="inlineStr">
        <is>
          <t>理科</t>
        </is>
      </c>
      <c r="D41" s="848" t="n">
        <v>3</v>
      </c>
      <c r="E41" s="848" t="inlineStr">
        <is>
          <t>入試標準問題</t>
        </is>
      </c>
      <c r="F41" s="848" t="inlineStr">
        <is>
          <t>標準・難関</t>
        </is>
      </c>
      <c r="G41" s="848" t="inlineStr">
        <is>
          <t>塾の授業</t>
        </is>
      </c>
    </row>
    <row r="42">
      <c r="A42" s="848" t="inlineStr">
        <is>
          <t>名問の森</t>
        </is>
      </c>
      <c r="B42" s="848" t="inlineStr">
        <is>
          <t>名問の森 物理（河合出版）</t>
        </is>
      </c>
      <c r="C42" s="848" t="inlineStr">
        <is>
          <t>理科</t>
        </is>
      </c>
      <c r="D42" s="848" t="n">
        <v>2</v>
      </c>
      <c r="E42" s="848" t="inlineStr">
        <is>
          <t>難関大の演習</t>
        </is>
      </c>
      <c r="F42" s="848" t="inlineStr">
        <is>
          <t>難関</t>
        </is>
      </c>
      <c r="G42" s="848" t="inlineStr">
        <is>
          <t>塾の授業</t>
        </is>
      </c>
    </row>
    <row r="43">
      <c r="A43" s="848" t="inlineStr">
        <is>
          <t>物理 重要問題集</t>
        </is>
      </c>
      <c r="B43" s="848" t="inlineStr">
        <is>
          <t>物理 重要問題集（数研出版）</t>
        </is>
      </c>
      <c r="C43" s="848" t="inlineStr">
        <is>
          <t>理科</t>
        </is>
      </c>
      <c r="D43" s="848" t="n">
        <v>2</v>
      </c>
      <c r="E43" s="848" t="inlineStr">
        <is>
          <t>A問題中心</t>
        </is>
      </c>
      <c r="F43" s="848" t="inlineStr">
        <is>
          <t>標準</t>
        </is>
      </c>
      <c r="G43" s="848" t="inlineStr">
        <is>
          <t>塾の授業</t>
        </is>
      </c>
    </row>
    <row r="44">
      <c r="A44" s="848" t="inlineStr">
        <is>
          <t>鎌田の理論化学の講義</t>
        </is>
      </c>
      <c r="B44" s="848" t="inlineStr">
        <is>
          <t>鎌田の理論化学の講義（旺文社）</t>
        </is>
      </c>
      <c r="C44" s="848" t="inlineStr">
        <is>
          <t>理科</t>
        </is>
      </c>
      <c r="D44" s="848" t="n">
        <v>2</v>
      </c>
      <c r="E44" s="848" t="inlineStr">
        <is>
          <t>理論化学の入門</t>
        </is>
      </c>
      <c r="F44" s="848" t="inlineStr">
        <is>
          <t>基礎</t>
        </is>
      </c>
      <c r="G44" s="848" t="inlineStr">
        <is>
          <t>塾の授業</t>
        </is>
      </c>
    </row>
    <row r="45">
      <c r="A45" s="848" t="inlineStr">
        <is>
          <t>セミナー化学</t>
        </is>
      </c>
      <c r="B45" s="848" t="inlineStr">
        <is>
          <t>セミナー化学基礎＋化学（第一学習社）</t>
        </is>
      </c>
      <c r="C45" s="848" t="inlineStr">
        <is>
          <t>理科</t>
        </is>
      </c>
      <c r="D45" s="848" t="n">
        <v>3</v>
      </c>
      <c r="E45" s="848" t="inlineStr">
        <is>
          <t>基本問題の反復</t>
        </is>
      </c>
      <c r="F45" s="848" t="inlineStr">
        <is>
          <t>全</t>
        </is>
      </c>
      <c r="G45" s="848" t="inlineStr">
        <is>
          <t>家庭学習（塾推奨）</t>
        </is>
      </c>
    </row>
    <row r="46">
      <c r="A46" s="848" t="inlineStr">
        <is>
          <t>化学 基礎問題精講</t>
        </is>
      </c>
      <c r="B46" s="848" t="inlineStr">
        <is>
          <t>化学 基礎問題精講（旺文社）</t>
        </is>
      </c>
      <c r="C46" s="848" t="inlineStr">
        <is>
          <t>理科</t>
        </is>
      </c>
      <c r="D46" s="848" t="n">
        <v>3</v>
      </c>
      <c r="E46" s="848" t="inlineStr">
        <is>
          <t>入試基礎</t>
        </is>
      </c>
      <c r="F46" s="848" t="inlineStr">
        <is>
          <t>基礎・標準</t>
        </is>
      </c>
      <c r="G46" s="848" t="inlineStr">
        <is>
          <t>塾の授業</t>
        </is>
      </c>
    </row>
    <row r="47">
      <c r="A47" s="848" t="inlineStr">
        <is>
          <t>化学 重要問題集</t>
        </is>
      </c>
      <c r="B47" s="848" t="inlineStr">
        <is>
          <t>化学 重要問題集（数研出版）</t>
        </is>
      </c>
      <c r="C47" s="848" t="inlineStr">
        <is>
          <t>理科</t>
        </is>
      </c>
      <c r="D47" s="848" t="n">
        <v>2</v>
      </c>
      <c r="E47" s="848" t="inlineStr">
        <is>
          <t>入試標準〜難関</t>
        </is>
      </c>
      <c r="F47" s="848" t="inlineStr">
        <is>
          <t>標準・難関</t>
        </is>
      </c>
      <c r="G47" s="848" t="inlineStr">
        <is>
          <t>塾の授業</t>
        </is>
      </c>
    </row>
    <row r="48">
      <c r="A48" s="848" t="inlineStr">
        <is>
          <t>化学の新演習</t>
        </is>
      </c>
      <c r="B48" s="848" t="inlineStr">
        <is>
          <t>化学の新演習（三省堂）</t>
        </is>
      </c>
      <c r="C48" s="848" t="inlineStr">
        <is>
          <t>理科</t>
        </is>
      </c>
      <c r="D48" s="848" t="n">
        <v>2</v>
      </c>
      <c r="E48" s="848" t="inlineStr">
        <is>
          <t>難関大の演習</t>
        </is>
      </c>
      <c r="F48" s="848" t="inlineStr">
        <is>
          <t>難関</t>
        </is>
      </c>
      <c r="G48" s="848" t="inlineStr">
        <is>
          <t>塾の授業</t>
        </is>
      </c>
    </row>
    <row r="49">
      <c r="A49" s="848" t="inlineStr">
        <is>
          <t>生物 基礎問題精講</t>
        </is>
      </c>
      <c r="B49" s="848" t="inlineStr">
        <is>
          <t>生物 基礎問題精講（旺文社）</t>
        </is>
      </c>
      <c r="C49" s="848" t="inlineStr">
        <is>
          <t>理科</t>
        </is>
      </c>
      <c r="D49" s="848" t="n">
        <v>3</v>
      </c>
      <c r="E49" s="848" t="inlineStr">
        <is>
          <t>入試基礎</t>
        </is>
      </c>
      <c r="F49" s="848" t="inlineStr">
        <is>
          <t>基礎・標準</t>
        </is>
      </c>
      <c r="G49" s="848" t="inlineStr">
        <is>
          <t>塾の授業</t>
        </is>
      </c>
    </row>
    <row r="50">
      <c r="A50" s="848" t="inlineStr">
        <is>
          <t>生物 重要問題集</t>
        </is>
      </c>
      <c r="B50" s="848" t="inlineStr">
        <is>
          <t>生物 重要問題集（数研出版）</t>
        </is>
      </c>
      <c r="C50" s="848" t="inlineStr">
        <is>
          <t>理科</t>
        </is>
      </c>
      <c r="D50" s="848" t="n">
        <v>2</v>
      </c>
      <c r="E50" s="848" t="inlineStr">
        <is>
          <t>入試標準〜難関</t>
        </is>
      </c>
      <c r="F50" s="848" t="inlineStr">
        <is>
          <t>標準・難関</t>
        </is>
      </c>
      <c r="G50" s="848" t="inlineStr">
        <is>
          <t>塾の授業</t>
        </is>
      </c>
    </row>
    <row r="51">
      <c r="A51" s="848" t="inlineStr">
        <is>
          <t>生物 標準問題精講</t>
        </is>
      </c>
      <c r="B51" s="848" t="inlineStr">
        <is>
          <t>生物 標準問題精講（旺文社）</t>
        </is>
      </c>
      <c r="C51" s="848" t="inlineStr">
        <is>
          <t>理科</t>
        </is>
      </c>
      <c r="D51" s="848" t="n">
        <v>2</v>
      </c>
      <c r="E51" s="848" t="inlineStr">
        <is>
          <t>難関大の演習</t>
        </is>
      </c>
      <c r="F51" s="848" t="inlineStr">
        <is>
          <t>難関</t>
        </is>
      </c>
      <c r="G51" s="848" t="inlineStr">
        <is>
          <t>塾の授業</t>
        </is>
      </c>
    </row>
    <row r="52">
      <c r="A52" s="848" t="inlineStr">
        <is>
          <t>リードα</t>
        </is>
      </c>
      <c r="B52" s="848" t="inlineStr">
        <is>
          <t>リードα 生物基礎＋生物（数研出版）</t>
        </is>
      </c>
      <c r="C52" s="848" t="inlineStr">
        <is>
          <t>理科</t>
        </is>
      </c>
      <c r="D52" s="848" t="n">
        <v>3</v>
      </c>
      <c r="E52" s="848" t="inlineStr">
        <is>
          <t>基本問題の反復</t>
        </is>
      </c>
      <c r="F52" s="848" t="inlineStr">
        <is>
          <t>全</t>
        </is>
      </c>
      <c r="G52" s="848" t="inlineStr">
        <is>
          <t>家庭学習（塾推奨）</t>
        </is>
      </c>
    </row>
    <row r="53">
      <c r="A53" s="848" t="inlineStr">
        <is>
          <t>共通テスト過去問</t>
        </is>
      </c>
      <c r="B53" s="848" t="inlineStr">
        <is>
          <t>共通テスト過去問研究（教学社）</t>
        </is>
      </c>
      <c r="C53" s="848" t="inlineStr">
        <is>
          <t>その他</t>
        </is>
      </c>
      <c r="D53" s="848" t="n">
        <v>1</v>
      </c>
      <c r="E53" s="848" t="inlineStr">
        <is>
          <t>9月〜。時間を計って本番形式で</t>
        </is>
      </c>
      <c r="F53" s="848" t="inlineStr">
        <is>
          <t>全</t>
        </is>
      </c>
      <c r="G53" s="848" t="inlineStr">
        <is>
          <t>家庭学習（塾推奨）</t>
        </is>
      </c>
    </row>
    <row r="54">
      <c r="A54" s="848" t="inlineStr">
        <is>
          <t>過去問</t>
        </is>
      </c>
      <c r="B54" s="848" t="inlineStr">
        <is>
          <t>志望大学の過去問（赤本・教学社）</t>
        </is>
      </c>
      <c r="C54" s="848" t="inlineStr">
        <is>
          <t>その他</t>
        </is>
      </c>
      <c r="D54" s="848" t="n"/>
      <c r="E54" s="848" t="inlineStr">
        <is>
          <t>11月〜。最低5年分。記述は講師が添削</t>
        </is>
      </c>
      <c r="F54" s="848" t="inlineStr">
        <is>
          <t>全</t>
        </is>
      </c>
      <c r="G54" s="848" t="inlineStr">
        <is>
          <t>家庭学習（塾推奨）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Course">
    <tabColor rgb="00BEC3CD"/>
    <outlinePr summaryBelow="1" summaryRight="1"/>
    <pageSetUpPr/>
  </sheetPr>
  <dimension ref="A1:K5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8" customWidth="1" style="466" min="2" max="2"/>
    <col width="8" customWidth="1" style="466" min="3" max="3"/>
    <col width="8" customWidth="1" style="466" min="4" max="4"/>
    <col width="10" customWidth="1" style="466" min="5" max="5"/>
    <col width="34" customWidth="1" style="466" min="6" max="6"/>
    <col width="10" customWidth="1" style="466" min="7" max="7"/>
    <col width="10" customWidth="1" style="466" min="8" max="8"/>
    <col width="18" customWidth="1" style="466" min="9" max="9"/>
    <col width="50" customWidth="1" style="466" min="11" max="11"/>
  </cols>
  <sheetData>
    <row r="1" ht="30" customHeight="1" s="466">
      <c r="A1" s="846" t="inlineStr">
        <is>
          <t>科目</t>
        </is>
      </c>
      <c r="B1" s="846" t="inlineStr">
        <is>
          <t>レベル</t>
        </is>
      </c>
      <c r="C1" s="846" t="inlineStr">
        <is>
          <t>区分</t>
        </is>
      </c>
      <c r="D1" s="846" t="inlineStr">
        <is>
          <t>文理</t>
        </is>
      </c>
      <c r="E1" s="846" t="inlineStr">
        <is>
          <t>講座コード</t>
        </is>
      </c>
      <c r="F1" s="846" t="inlineStr">
        <is>
          <t>講座名</t>
        </is>
      </c>
      <c r="G1" s="846" t="inlineStr">
        <is>
          <t>夏期</t>
        </is>
      </c>
      <c r="H1" s="846" t="inlineStr">
        <is>
          <t>直前</t>
        </is>
      </c>
      <c r="I1" s="846" t="inlineStr">
        <is>
          <t>出典・確認状態</t>
        </is>
      </c>
      <c r="K1" s="847" t="inlineStr">
        <is>
          <t>※ 『既存ファイル記載』＝試作ファイルにあった講座（出典：2027年度 高校生ウイングネット学習・講座ガイド P5・P22-23）。『仮（要確認）』＝パンフレット未照合のため仮置き。講座名を直すときは カリキュラムDB の『講座』行も直してください。</t>
        </is>
      </c>
    </row>
    <row r="2">
      <c r="A2" s="848" t="inlineStr">
        <is>
          <t>英語</t>
        </is>
      </c>
      <c r="B2" s="848" t="inlineStr">
        <is>
          <t>難関</t>
        </is>
      </c>
      <c r="C2" s="848" t="inlineStr">
        <is>
          <t>国立</t>
        </is>
      </c>
      <c r="D2" s="848" t="inlineStr">
        <is>
          <t>共通</t>
        </is>
      </c>
      <c r="E2" s="848" t="inlineStr">
        <is>
          <t>G3EK</t>
        </is>
      </c>
      <c r="F2" s="848" t="inlineStr">
        <is>
          <t>難関国公立大英語</t>
        </is>
      </c>
      <c r="G2" s="848" t="inlineStr">
        <is>
          <t>NG3EK</t>
        </is>
      </c>
      <c r="H2" s="848" t="inlineStr">
        <is>
          <t>FG3EK</t>
        </is>
      </c>
      <c r="I2" s="848" t="inlineStr">
        <is>
          <t>既存ファイル記載</t>
        </is>
      </c>
    </row>
    <row r="3">
      <c r="A3" s="848" t="inlineStr">
        <is>
          <t>英語</t>
        </is>
      </c>
      <c r="B3" s="848" t="inlineStr">
        <is>
          <t>難関</t>
        </is>
      </c>
      <c r="C3" s="848" t="inlineStr">
        <is>
          <t>私大</t>
        </is>
      </c>
      <c r="D3" s="848" t="inlineStr">
        <is>
          <t>共通</t>
        </is>
      </c>
      <c r="E3" s="848" t="inlineStr">
        <is>
          <t>（要確認）</t>
        </is>
      </c>
      <c r="F3" s="848" t="inlineStr">
        <is>
          <t>難関私大英語</t>
        </is>
      </c>
      <c r="G3" s="848" t="inlineStr">
        <is>
          <t>あり</t>
        </is>
      </c>
      <c r="H3" s="848" t="inlineStr">
        <is>
          <t>あり</t>
        </is>
      </c>
      <c r="I3" s="852" t="inlineStr">
        <is>
          <t>仮（要確認）</t>
        </is>
      </c>
    </row>
    <row r="4">
      <c r="A4" s="848" t="inlineStr">
        <is>
          <t>英語</t>
        </is>
      </c>
      <c r="B4" s="848" t="inlineStr">
        <is>
          <t>標準</t>
        </is>
      </c>
      <c r="C4" s="848" t="inlineStr">
        <is>
          <t>共通</t>
        </is>
      </c>
      <c r="D4" s="848" t="inlineStr">
        <is>
          <t>共通</t>
        </is>
      </c>
      <c r="E4" s="848" t="inlineStr">
        <is>
          <t>（要確認）</t>
        </is>
      </c>
      <c r="F4" s="848" t="inlineStr">
        <is>
          <t>入試標準英語</t>
        </is>
      </c>
      <c r="G4" s="848" t="inlineStr">
        <is>
          <t>あり</t>
        </is>
      </c>
      <c r="H4" s="848" t="inlineStr">
        <is>
          <t>あり</t>
        </is>
      </c>
      <c r="I4" s="852" t="inlineStr">
        <is>
          <t>仮（要確認）</t>
        </is>
      </c>
    </row>
    <row r="5">
      <c r="A5" s="848" t="inlineStr">
        <is>
          <t>英語</t>
        </is>
      </c>
      <c r="B5" s="848" t="inlineStr">
        <is>
          <t>基礎</t>
        </is>
      </c>
      <c r="C5" s="848" t="inlineStr">
        <is>
          <t>共通</t>
        </is>
      </c>
      <c r="D5" s="848" t="inlineStr">
        <is>
          <t>共通</t>
        </is>
      </c>
      <c r="E5" s="848" t="inlineStr">
        <is>
          <t>（要確認）</t>
        </is>
      </c>
      <c r="F5" s="848" t="inlineStr">
        <is>
          <t>基礎英語（文法・構文）</t>
        </is>
      </c>
      <c r="G5" s="848" t="inlineStr">
        <is>
          <t>あり</t>
        </is>
      </c>
      <c r="H5" s="848" t="inlineStr">
        <is>
          <t>あり</t>
        </is>
      </c>
      <c r="I5" s="852" t="inlineStr">
        <is>
          <t>仮（要確認）</t>
        </is>
      </c>
    </row>
    <row r="6">
      <c r="A6" s="848" t="inlineStr">
        <is>
          <t>数学</t>
        </is>
      </c>
      <c r="B6" s="848" t="inlineStr">
        <is>
          <t>難関</t>
        </is>
      </c>
      <c r="C6" s="848" t="inlineStr">
        <is>
          <t>共通</t>
        </is>
      </c>
      <c r="D6" s="848" t="inlineStr">
        <is>
          <t>文系</t>
        </is>
      </c>
      <c r="E6" s="848" t="inlineStr">
        <is>
          <t>3NN</t>
        </is>
      </c>
      <c r="F6" s="848" t="inlineStr">
        <is>
          <t>難関大数学ⅠA・ⅡB・C</t>
        </is>
      </c>
      <c r="G6" s="848" t="inlineStr">
        <is>
          <t>N3NN</t>
        </is>
      </c>
      <c r="H6" s="848" t="inlineStr">
        <is>
          <t>F3NN</t>
        </is>
      </c>
      <c r="I6" s="848" t="inlineStr">
        <is>
          <t>既存ファイル記載</t>
        </is>
      </c>
    </row>
    <row r="7">
      <c r="A7" s="848" t="inlineStr">
        <is>
          <t>数学</t>
        </is>
      </c>
      <c r="B7" s="848" t="inlineStr">
        <is>
          <t>難関</t>
        </is>
      </c>
      <c r="C7" s="848" t="inlineStr">
        <is>
          <t>共通</t>
        </is>
      </c>
      <c r="D7" s="848" t="inlineStr">
        <is>
          <t>理系</t>
        </is>
      </c>
      <c r="E7" s="848" t="inlineStr">
        <is>
          <t>3NN</t>
        </is>
      </c>
      <c r="F7" s="848" t="inlineStr">
        <is>
          <t>難関大数学ⅠA・ⅡB・C／数学Ⅲ</t>
        </is>
      </c>
      <c r="G7" s="848" t="inlineStr">
        <is>
          <t>N3NN</t>
        </is>
      </c>
      <c r="H7" s="848" t="inlineStr">
        <is>
          <t>F3NN</t>
        </is>
      </c>
      <c r="I7" s="852" t="inlineStr">
        <is>
          <t>仮（要確認）</t>
        </is>
      </c>
    </row>
    <row r="8">
      <c r="A8" s="848" t="inlineStr">
        <is>
          <t>数学</t>
        </is>
      </c>
      <c r="B8" s="848" t="inlineStr">
        <is>
          <t>標準</t>
        </is>
      </c>
      <c r="C8" s="848" t="inlineStr">
        <is>
          <t>共通</t>
        </is>
      </c>
      <c r="D8" s="848" t="inlineStr">
        <is>
          <t>文系</t>
        </is>
      </c>
      <c r="E8" s="848" t="inlineStr">
        <is>
          <t>（要確認）</t>
        </is>
      </c>
      <c r="F8" s="848" t="inlineStr">
        <is>
          <t>標準数学ⅠA・ⅡB・C</t>
        </is>
      </c>
      <c r="G8" s="848" t="inlineStr">
        <is>
          <t>あり</t>
        </is>
      </c>
      <c r="H8" s="848" t="inlineStr">
        <is>
          <t>あり</t>
        </is>
      </c>
      <c r="I8" s="852" t="inlineStr">
        <is>
          <t>仮（要確認）</t>
        </is>
      </c>
    </row>
    <row r="9">
      <c r="A9" s="848" t="inlineStr">
        <is>
          <t>数学</t>
        </is>
      </c>
      <c r="B9" s="848" t="inlineStr">
        <is>
          <t>標準</t>
        </is>
      </c>
      <c r="C9" s="848" t="inlineStr">
        <is>
          <t>共通</t>
        </is>
      </c>
      <c r="D9" s="848" t="inlineStr">
        <is>
          <t>理系</t>
        </is>
      </c>
      <c r="E9" s="848" t="inlineStr">
        <is>
          <t>（要確認）</t>
        </is>
      </c>
      <c r="F9" s="848" t="inlineStr">
        <is>
          <t>標準数学ⅠA・ⅡB・C・Ⅲ</t>
        </is>
      </c>
      <c r="G9" s="848" t="inlineStr">
        <is>
          <t>あり</t>
        </is>
      </c>
      <c r="H9" s="848" t="inlineStr">
        <is>
          <t>あり</t>
        </is>
      </c>
      <c r="I9" s="852" t="inlineStr">
        <is>
          <t>仮（要確認）</t>
        </is>
      </c>
    </row>
    <row r="10">
      <c r="A10" s="848" t="inlineStr">
        <is>
          <t>数学</t>
        </is>
      </c>
      <c r="B10" s="848" t="inlineStr">
        <is>
          <t>基礎</t>
        </is>
      </c>
      <c r="C10" s="848" t="inlineStr">
        <is>
          <t>共通</t>
        </is>
      </c>
      <c r="D10" s="848" t="inlineStr">
        <is>
          <t>文系</t>
        </is>
      </c>
      <c r="E10" s="848" t="inlineStr">
        <is>
          <t>（要確認）</t>
        </is>
      </c>
      <c r="F10" s="848" t="inlineStr">
        <is>
          <t>基礎数学ⅠA・ⅡB・C</t>
        </is>
      </c>
      <c r="G10" s="848" t="inlineStr">
        <is>
          <t>あり</t>
        </is>
      </c>
      <c r="H10" s="848" t="inlineStr">
        <is>
          <t>あり</t>
        </is>
      </c>
      <c r="I10" s="852" t="inlineStr">
        <is>
          <t>仮（要確認）</t>
        </is>
      </c>
    </row>
    <row r="11">
      <c r="A11" s="848" t="inlineStr">
        <is>
          <t>数学</t>
        </is>
      </c>
      <c r="B11" s="848" t="inlineStr">
        <is>
          <t>基礎</t>
        </is>
      </c>
      <c r="C11" s="848" t="inlineStr">
        <is>
          <t>共通</t>
        </is>
      </c>
      <c r="D11" s="848" t="inlineStr">
        <is>
          <t>理系</t>
        </is>
      </c>
      <c r="E11" s="848" t="inlineStr">
        <is>
          <t>（要確認）</t>
        </is>
      </c>
      <c r="F11" s="848" t="inlineStr">
        <is>
          <t>基礎数学ⅠA・ⅡB・C・Ⅲ</t>
        </is>
      </c>
      <c r="G11" s="848" t="inlineStr">
        <is>
          <t>あり</t>
        </is>
      </c>
      <c r="H11" s="848" t="inlineStr">
        <is>
          <t>あり</t>
        </is>
      </c>
      <c r="I11" s="852" t="inlineStr">
        <is>
          <t>仮（要確認）</t>
        </is>
      </c>
    </row>
    <row r="12">
      <c r="A12" s="848" t="inlineStr">
        <is>
          <t>現代文</t>
        </is>
      </c>
      <c r="B12" s="848" t="inlineStr">
        <is>
          <t>難関</t>
        </is>
      </c>
      <c r="C12" s="848" t="inlineStr">
        <is>
          <t>国立</t>
        </is>
      </c>
      <c r="D12" s="848" t="inlineStr">
        <is>
          <t>共通</t>
        </is>
      </c>
      <c r="E12" s="848" t="inlineStr">
        <is>
          <t>G3LGK</t>
        </is>
      </c>
      <c r="F12" s="848" t="inlineStr">
        <is>
          <t>難関国公立大現代文</t>
        </is>
      </c>
      <c r="G12" s="848" t="inlineStr">
        <is>
          <t>NG3LGK</t>
        </is>
      </c>
      <c r="H12" s="848" t="inlineStr">
        <is>
          <t>FG3LGK</t>
        </is>
      </c>
      <c r="I12" s="848" t="inlineStr">
        <is>
          <t>既存ファイル記載</t>
        </is>
      </c>
    </row>
    <row r="13">
      <c r="A13" s="848" t="inlineStr">
        <is>
          <t>現代文</t>
        </is>
      </c>
      <c r="B13" s="848" t="inlineStr">
        <is>
          <t>難関</t>
        </is>
      </c>
      <c r="C13" s="848" t="inlineStr">
        <is>
          <t>私大</t>
        </is>
      </c>
      <c r="D13" s="848" t="inlineStr">
        <is>
          <t>共通</t>
        </is>
      </c>
      <c r="E13" s="848" t="inlineStr">
        <is>
          <t>（要確認）</t>
        </is>
      </c>
      <c r="F13" s="848" t="inlineStr">
        <is>
          <t>難関私大現代文</t>
        </is>
      </c>
      <c r="G13" s="848" t="inlineStr">
        <is>
          <t>あり</t>
        </is>
      </c>
      <c r="H13" s="848" t="inlineStr">
        <is>
          <t>あり</t>
        </is>
      </c>
      <c r="I13" s="852" t="inlineStr">
        <is>
          <t>仮（要確認）</t>
        </is>
      </c>
    </row>
    <row r="14">
      <c r="A14" s="848" t="inlineStr">
        <is>
          <t>現代文</t>
        </is>
      </c>
      <c r="B14" s="848" t="inlineStr">
        <is>
          <t>標準</t>
        </is>
      </c>
      <c r="C14" s="848" t="inlineStr">
        <is>
          <t>共通</t>
        </is>
      </c>
      <c r="D14" s="848" t="inlineStr">
        <is>
          <t>共通</t>
        </is>
      </c>
      <c r="E14" s="848" t="inlineStr">
        <is>
          <t>（要確認）</t>
        </is>
      </c>
      <c r="F14" s="848" t="inlineStr">
        <is>
          <t>標準現代文</t>
        </is>
      </c>
      <c r="G14" s="848" t="inlineStr">
        <is>
          <t>あり</t>
        </is>
      </c>
      <c r="H14" s="848" t="inlineStr">
        <is>
          <t>あり</t>
        </is>
      </c>
      <c r="I14" s="852" t="inlineStr">
        <is>
          <t>仮（要確認）</t>
        </is>
      </c>
    </row>
    <row r="15">
      <c r="A15" s="848" t="inlineStr">
        <is>
          <t>現代文</t>
        </is>
      </c>
      <c r="B15" s="848" t="inlineStr">
        <is>
          <t>基礎</t>
        </is>
      </c>
      <c r="C15" s="848" t="inlineStr">
        <is>
          <t>共通</t>
        </is>
      </c>
      <c r="D15" s="848" t="inlineStr">
        <is>
          <t>共通</t>
        </is>
      </c>
      <c r="E15" s="848" t="inlineStr">
        <is>
          <t>（要確認）</t>
        </is>
      </c>
      <c r="F15" s="848" t="inlineStr">
        <is>
          <t>基礎現代文</t>
        </is>
      </c>
      <c r="G15" s="848" t="inlineStr">
        <is>
          <t>あり</t>
        </is>
      </c>
      <c r="H15" s="848" t="inlineStr">
        <is>
          <t>あり</t>
        </is>
      </c>
      <c r="I15" s="852" t="inlineStr">
        <is>
          <t>仮（要確認）</t>
        </is>
      </c>
    </row>
    <row r="16">
      <c r="A16" s="848" t="inlineStr">
        <is>
          <t>古文</t>
        </is>
      </c>
      <c r="B16" s="848" t="inlineStr">
        <is>
          <t>難関</t>
        </is>
      </c>
      <c r="C16" s="848" t="inlineStr">
        <is>
          <t>共通</t>
        </is>
      </c>
      <c r="D16" s="848" t="inlineStr">
        <is>
          <t>共通</t>
        </is>
      </c>
      <c r="E16" s="848" t="inlineStr">
        <is>
          <t>G3LC</t>
        </is>
      </c>
      <c r="F16" s="848" t="inlineStr">
        <is>
          <t>難関大古文ゼミ</t>
        </is>
      </c>
      <c r="G16" s="848" t="inlineStr">
        <is>
          <t>NG3LC</t>
        </is>
      </c>
      <c r="H16" s="848" t="inlineStr">
        <is>
          <t>FG3LC</t>
        </is>
      </c>
      <c r="I16" s="848" t="inlineStr">
        <is>
          <t>既存ファイル記載</t>
        </is>
      </c>
    </row>
    <row r="17">
      <c r="A17" s="848" t="inlineStr">
        <is>
          <t>古文</t>
        </is>
      </c>
      <c r="B17" s="848" t="inlineStr">
        <is>
          <t>標準</t>
        </is>
      </c>
      <c r="C17" s="848" t="inlineStr">
        <is>
          <t>共通</t>
        </is>
      </c>
      <c r="D17" s="848" t="inlineStr">
        <is>
          <t>共通</t>
        </is>
      </c>
      <c r="E17" s="848" t="inlineStr">
        <is>
          <t>（要確認）</t>
        </is>
      </c>
      <c r="F17" s="848" t="inlineStr">
        <is>
          <t>標準古文</t>
        </is>
      </c>
      <c r="G17" s="848" t="inlineStr">
        <is>
          <t>あり</t>
        </is>
      </c>
      <c r="H17" s="848" t="inlineStr">
        <is>
          <t>あり</t>
        </is>
      </c>
      <c r="I17" s="852" t="inlineStr">
        <is>
          <t>仮（要確認）</t>
        </is>
      </c>
    </row>
    <row r="18">
      <c r="A18" s="848" t="inlineStr">
        <is>
          <t>古文</t>
        </is>
      </c>
      <c r="B18" s="848" t="inlineStr">
        <is>
          <t>基礎</t>
        </is>
      </c>
      <c r="C18" s="848" t="inlineStr">
        <is>
          <t>共通</t>
        </is>
      </c>
      <c r="D18" s="848" t="inlineStr">
        <is>
          <t>共通</t>
        </is>
      </c>
      <c r="E18" s="848" t="inlineStr">
        <is>
          <t>（要確認）</t>
        </is>
      </c>
      <c r="F18" s="848" t="inlineStr">
        <is>
          <t>基礎古文（文法）</t>
        </is>
      </c>
      <c r="G18" s="848" t="inlineStr">
        <is>
          <t>あり</t>
        </is>
      </c>
      <c r="H18" s="848" t="inlineStr">
        <is>
          <t>あり</t>
        </is>
      </c>
      <c r="I18" s="852" t="inlineStr">
        <is>
          <t>仮（要確認）</t>
        </is>
      </c>
    </row>
    <row r="19">
      <c r="A19" s="848" t="inlineStr">
        <is>
          <t>漢文</t>
        </is>
      </c>
      <c r="B19" s="848" t="inlineStr">
        <is>
          <t>難関</t>
        </is>
      </c>
      <c r="C19" s="848" t="inlineStr">
        <is>
          <t>共通</t>
        </is>
      </c>
      <c r="D19" s="848" t="inlineStr">
        <is>
          <t>共通</t>
        </is>
      </c>
      <c r="E19" s="848" t="inlineStr">
        <is>
          <t>G3LK</t>
        </is>
      </c>
      <c r="F19" s="848" t="inlineStr">
        <is>
          <t>難関大漢文</t>
        </is>
      </c>
      <c r="G19" s="848" t="inlineStr">
        <is>
          <t>—</t>
        </is>
      </c>
      <c r="H19" s="848" t="inlineStr">
        <is>
          <t>—</t>
        </is>
      </c>
      <c r="I19" s="848" t="inlineStr">
        <is>
          <t>既存ファイル記載</t>
        </is>
      </c>
    </row>
    <row r="20">
      <c r="A20" s="848" t="inlineStr">
        <is>
          <t>漢文</t>
        </is>
      </c>
      <c r="B20" s="848" t="inlineStr">
        <is>
          <t>標準</t>
        </is>
      </c>
      <c r="C20" s="848" t="inlineStr">
        <is>
          <t>共通</t>
        </is>
      </c>
      <c r="D20" s="848" t="inlineStr">
        <is>
          <t>共通</t>
        </is>
      </c>
      <c r="E20" s="848" t="inlineStr">
        <is>
          <t>（要確認）</t>
        </is>
      </c>
      <c r="F20" s="848" t="inlineStr">
        <is>
          <t>基礎漢文（句法）</t>
        </is>
      </c>
      <c r="G20" s="848" t="inlineStr">
        <is>
          <t>—</t>
        </is>
      </c>
      <c r="H20" s="848" t="inlineStr">
        <is>
          <t>—</t>
        </is>
      </c>
      <c r="I20" s="852" t="inlineStr">
        <is>
          <t>仮（要確認）</t>
        </is>
      </c>
    </row>
    <row r="21">
      <c r="A21" s="848" t="inlineStr">
        <is>
          <t>漢文</t>
        </is>
      </c>
      <c r="B21" s="848" t="inlineStr">
        <is>
          <t>基礎</t>
        </is>
      </c>
      <c r="C21" s="848" t="inlineStr">
        <is>
          <t>共通</t>
        </is>
      </c>
      <c r="D21" s="848" t="inlineStr">
        <is>
          <t>共通</t>
        </is>
      </c>
      <c r="E21" s="848" t="inlineStr">
        <is>
          <t>（要確認）</t>
        </is>
      </c>
      <c r="F21" s="848" t="inlineStr">
        <is>
          <t>基礎漢文（句法）</t>
        </is>
      </c>
      <c r="G21" s="848" t="inlineStr">
        <is>
          <t>—</t>
        </is>
      </c>
      <c r="H21" s="848" t="inlineStr">
        <is>
          <t>—</t>
        </is>
      </c>
      <c r="I21" s="852" t="inlineStr">
        <is>
          <t>仮（要確認）</t>
        </is>
      </c>
    </row>
    <row r="22">
      <c r="A22" s="848" t="inlineStr">
        <is>
          <t>日本史</t>
        </is>
      </c>
      <c r="B22" s="848" t="inlineStr">
        <is>
          <t>難関</t>
        </is>
      </c>
      <c r="C22" s="848" t="inlineStr">
        <is>
          <t>共通</t>
        </is>
      </c>
      <c r="D22" s="848" t="inlineStr">
        <is>
          <t>共通</t>
        </is>
      </c>
      <c r="E22" s="848" t="inlineStr">
        <is>
          <t>G3J</t>
        </is>
      </c>
      <c r="F22" s="848" t="inlineStr">
        <is>
          <t>難関大日本史</t>
        </is>
      </c>
      <c r="G22" s="848" t="inlineStr">
        <is>
          <t>NG3J</t>
        </is>
      </c>
      <c r="H22" s="848" t="inlineStr">
        <is>
          <t>FG3J</t>
        </is>
      </c>
      <c r="I22" s="848" t="inlineStr">
        <is>
          <t>既存ファイル記載</t>
        </is>
      </c>
    </row>
    <row r="23">
      <c r="A23" s="848" t="inlineStr">
        <is>
          <t>日本史</t>
        </is>
      </c>
      <c r="B23" s="848" t="inlineStr">
        <is>
          <t>標準</t>
        </is>
      </c>
      <c r="C23" s="848" t="inlineStr">
        <is>
          <t>共通</t>
        </is>
      </c>
      <c r="D23" s="848" t="inlineStr">
        <is>
          <t>共通</t>
        </is>
      </c>
      <c r="E23" s="848" t="inlineStr">
        <is>
          <t>（要確認）</t>
        </is>
      </c>
      <c r="F23" s="848" t="inlineStr">
        <is>
          <t>標準日本史（通史）</t>
        </is>
      </c>
      <c r="G23" s="848" t="inlineStr">
        <is>
          <t>あり</t>
        </is>
      </c>
      <c r="H23" s="848" t="inlineStr">
        <is>
          <t>あり</t>
        </is>
      </c>
      <c r="I23" s="852" t="inlineStr">
        <is>
          <t>仮（要確認）</t>
        </is>
      </c>
    </row>
    <row r="24">
      <c r="A24" s="848" t="inlineStr">
        <is>
          <t>日本史</t>
        </is>
      </c>
      <c r="B24" s="848" t="inlineStr">
        <is>
          <t>基礎</t>
        </is>
      </c>
      <c r="C24" s="848" t="inlineStr">
        <is>
          <t>共通</t>
        </is>
      </c>
      <c r="D24" s="848" t="inlineStr">
        <is>
          <t>共通</t>
        </is>
      </c>
      <c r="E24" s="848" t="inlineStr">
        <is>
          <t>（要確認）</t>
        </is>
      </c>
      <c r="F24" s="848" t="inlineStr">
        <is>
          <t>標準日本史（通史）</t>
        </is>
      </c>
      <c r="G24" s="848" t="inlineStr">
        <is>
          <t>あり</t>
        </is>
      </c>
      <c r="H24" s="848" t="inlineStr">
        <is>
          <t>あり</t>
        </is>
      </c>
      <c r="I24" s="852" t="inlineStr">
        <is>
          <t>仮（要確認）</t>
        </is>
      </c>
    </row>
    <row r="25">
      <c r="A25" s="848" t="inlineStr">
        <is>
          <t>世界史</t>
        </is>
      </c>
      <c r="B25" s="848" t="inlineStr">
        <is>
          <t>難関</t>
        </is>
      </c>
      <c r="C25" s="848" t="inlineStr">
        <is>
          <t>共通</t>
        </is>
      </c>
      <c r="D25" s="848" t="inlineStr">
        <is>
          <t>共通</t>
        </is>
      </c>
      <c r="E25" s="848" t="inlineStr">
        <is>
          <t>G3W</t>
        </is>
      </c>
      <c r="F25" s="848" t="inlineStr">
        <is>
          <t>難関大世界史</t>
        </is>
      </c>
      <c r="G25" s="848" t="inlineStr">
        <is>
          <t>NG3W</t>
        </is>
      </c>
      <c r="H25" s="848" t="inlineStr">
        <is>
          <t>FG3W</t>
        </is>
      </c>
      <c r="I25" s="848" t="inlineStr">
        <is>
          <t>既存ファイル記載</t>
        </is>
      </c>
    </row>
    <row r="26">
      <c r="A26" s="848" t="inlineStr">
        <is>
          <t>世界史</t>
        </is>
      </c>
      <c r="B26" s="848" t="inlineStr">
        <is>
          <t>標準</t>
        </is>
      </c>
      <c r="C26" s="848" t="inlineStr">
        <is>
          <t>共通</t>
        </is>
      </c>
      <c r="D26" s="848" t="inlineStr">
        <is>
          <t>共通</t>
        </is>
      </c>
      <c r="E26" s="848" t="inlineStr">
        <is>
          <t>（要確認）</t>
        </is>
      </c>
      <c r="F26" s="848" t="inlineStr">
        <is>
          <t>標準世界史（通史）</t>
        </is>
      </c>
      <c r="G26" s="848" t="inlineStr">
        <is>
          <t>あり</t>
        </is>
      </c>
      <c r="H26" s="848" t="inlineStr">
        <is>
          <t>あり</t>
        </is>
      </c>
      <c r="I26" s="852" t="inlineStr">
        <is>
          <t>仮（要確認）</t>
        </is>
      </c>
    </row>
    <row r="27">
      <c r="A27" s="848" t="inlineStr">
        <is>
          <t>世界史</t>
        </is>
      </c>
      <c r="B27" s="848" t="inlineStr">
        <is>
          <t>基礎</t>
        </is>
      </c>
      <c r="C27" s="848" t="inlineStr">
        <is>
          <t>共通</t>
        </is>
      </c>
      <c r="D27" s="848" t="inlineStr">
        <is>
          <t>共通</t>
        </is>
      </c>
      <c r="E27" s="848" t="inlineStr">
        <is>
          <t>（要確認）</t>
        </is>
      </c>
      <c r="F27" s="848" t="inlineStr">
        <is>
          <t>標準世界史（通史）</t>
        </is>
      </c>
      <c r="G27" s="848" t="inlineStr">
        <is>
          <t>あり</t>
        </is>
      </c>
      <c r="H27" s="848" t="inlineStr">
        <is>
          <t>あり</t>
        </is>
      </c>
      <c r="I27" s="852" t="inlineStr">
        <is>
          <t>仮（要確認）</t>
        </is>
      </c>
    </row>
    <row r="28">
      <c r="A28" s="848" t="inlineStr">
        <is>
          <t>地理</t>
        </is>
      </c>
      <c r="B28" s="848" t="inlineStr">
        <is>
          <t>難関</t>
        </is>
      </c>
      <c r="C28" s="848" t="inlineStr">
        <is>
          <t>共通</t>
        </is>
      </c>
      <c r="D28" s="848" t="inlineStr">
        <is>
          <t>共通</t>
        </is>
      </c>
      <c r="E28" s="848" t="inlineStr">
        <is>
          <t>（要確認）</t>
        </is>
      </c>
      <c r="F28" s="848" t="inlineStr">
        <is>
          <t>地理探究（個別試験対策）</t>
        </is>
      </c>
      <c r="G28" s="848" t="inlineStr">
        <is>
          <t>あり</t>
        </is>
      </c>
      <c r="H28" s="848" t="inlineStr">
        <is>
          <t>あり</t>
        </is>
      </c>
      <c r="I28" s="852" t="inlineStr">
        <is>
          <t>仮（要確認）</t>
        </is>
      </c>
    </row>
    <row r="29">
      <c r="A29" s="848" t="inlineStr">
        <is>
          <t>地理</t>
        </is>
      </c>
      <c r="B29" s="848" t="inlineStr">
        <is>
          <t>標準</t>
        </is>
      </c>
      <c r="C29" s="848" t="inlineStr">
        <is>
          <t>共通</t>
        </is>
      </c>
      <c r="D29" s="848" t="inlineStr">
        <is>
          <t>共通</t>
        </is>
      </c>
      <c r="E29" s="848" t="inlineStr">
        <is>
          <t>（要確認）</t>
        </is>
      </c>
      <c r="F29" s="848" t="inlineStr">
        <is>
          <t>地理探究（個別試験対策）</t>
        </is>
      </c>
      <c r="G29" s="848" t="inlineStr">
        <is>
          <t>あり</t>
        </is>
      </c>
      <c r="H29" s="848" t="inlineStr">
        <is>
          <t>あり</t>
        </is>
      </c>
      <c r="I29" s="852" t="inlineStr">
        <is>
          <t>仮（要確認）</t>
        </is>
      </c>
    </row>
    <row r="30">
      <c r="A30" s="848" t="inlineStr">
        <is>
          <t>地理</t>
        </is>
      </c>
      <c r="B30" s="848" t="inlineStr">
        <is>
          <t>基礎</t>
        </is>
      </c>
      <c r="C30" s="848" t="inlineStr">
        <is>
          <t>共通</t>
        </is>
      </c>
      <c r="D30" s="848" t="inlineStr">
        <is>
          <t>共通</t>
        </is>
      </c>
      <c r="E30" s="848" t="inlineStr">
        <is>
          <t>（要確認）</t>
        </is>
      </c>
      <c r="F30" s="848" t="inlineStr">
        <is>
          <t>地理探究（個別試験対策）</t>
        </is>
      </c>
      <c r="G30" s="848" t="inlineStr">
        <is>
          <t>あり</t>
        </is>
      </c>
      <c r="H30" s="848" t="inlineStr">
        <is>
          <t>あり</t>
        </is>
      </c>
      <c r="I30" s="852" t="inlineStr">
        <is>
          <t>仮（要確認）</t>
        </is>
      </c>
    </row>
    <row r="31">
      <c r="A31" s="848" t="inlineStr">
        <is>
          <t>物理</t>
        </is>
      </c>
      <c r="B31" s="848" t="inlineStr">
        <is>
          <t>難関</t>
        </is>
      </c>
      <c r="C31" s="848" t="inlineStr">
        <is>
          <t>共通</t>
        </is>
      </c>
      <c r="D31" s="848" t="inlineStr">
        <is>
          <t>共通</t>
        </is>
      </c>
      <c r="E31" s="848" t="inlineStr">
        <is>
          <t>（要確認）</t>
        </is>
      </c>
      <c r="F31" s="848" t="inlineStr">
        <is>
          <t>難関大物理</t>
        </is>
      </c>
      <c r="G31" s="848" t="inlineStr">
        <is>
          <t>あり</t>
        </is>
      </c>
      <c r="H31" s="848" t="inlineStr">
        <is>
          <t>あり</t>
        </is>
      </c>
      <c r="I31" s="852" t="inlineStr">
        <is>
          <t>仮（要確認）</t>
        </is>
      </c>
    </row>
    <row r="32">
      <c r="A32" s="848" t="inlineStr">
        <is>
          <t>物理</t>
        </is>
      </c>
      <c r="B32" s="848" t="inlineStr">
        <is>
          <t>標準</t>
        </is>
      </c>
      <c r="C32" s="848" t="inlineStr">
        <is>
          <t>共通</t>
        </is>
      </c>
      <c r="D32" s="848" t="inlineStr">
        <is>
          <t>共通</t>
        </is>
      </c>
      <c r="E32" s="848" t="inlineStr">
        <is>
          <t>（要確認）</t>
        </is>
      </c>
      <c r="F32" s="848" t="inlineStr">
        <is>
          <t>標準物理</t>
        </is>
      </c>
      <c r="G32" s="848" t="inlineStr">
        <is>
          <t>あり</t>
        </is>
      </c>
      <c r="H32" s="848" t="inlineStr">
        <is>
          <t>あり</t>
        </is>
      </c>
      <c r="I32" s="852" t="inlineStr">
        <is>
          <t>仮（要確認）</t>
        </is>
      </c>
    </row>
    <row r="33">
      <c r="A33" s="848" t="inlineStr">
        <is>
          <t>物理</t>
        </is>
      </c>
      <c r="B33" s="848" t="inlineStr">
        <is>
          <t>基礎</t>
        </is>
      </c>
      <c r="C33" s="848" t="inlineStr">
        <is>
          <t>共通</t>
        </is>
      </c>
      <c r="D33" s="848" t="inlineStr">
        <is>
          <t>共通</t>
        </is>
      </c>
      <c r="E33" s="848" t="inlineStr">
        <is>
          <t>（要確認）</t>
        </is>
      </c>
      <c r="F33" s="848" t="inlineStr">
        <is>
          <t>基礎物理</t>
        </is>
      </c>
      <c r="G33" s="848" t="inlineStr">
        <is>
          <t>あり</t>
        </is>
      </c>
      <c r="H33" s="848" t="inlineStr">
        <is>
          <t>あり</t>
        </is>
      </c>
      <c r="I33" s="852" t="inlineStr">
        <is>
          <t>仮（要確認）</t>
        </is>
      </c>
    </row>
    <row r="34">
      <c r="A34" s="848" t="inlineStr">
        <is>
          <t>化学</t>
        </is>
      </c>
      <c r="B34" s="848" t="inlineStr">
        <is>
          <t>難関</t>
        </is>
      </c>
      <c r="C34" s="848" t="inlineStr">
        <is>
          <t>共通</t>
        </is>
      </c>
      <c r="D34" s="848" t="inlineStr">
        <is>
          <t>共通</t>
        </is>
      </c>
      <c r="E34" s="848" t="inlineStr">
        <is>
          <t>（要確認）</t>
        </is>
      </c>
      <c r="F34" s="848" t="inlineStr">
        <is>
          <t>難関大化学</t>
        </is>
      </c>
      <c r="G34" s="848" t="inlineStr">
        <is>
          <t>あり</t>
        </is>
      </c>
      <c r="H34" s="848" t="inlineStr">
        <is>
          <t>あり</t>
        </is>
      </c>
      <c r="I34" s="852" t="inlineStr">
        <is>
          <t>仮（要確認）</t>
        </is>
      </c>
    </row>
    <row r="35">
      <c r="A35" s="848" t="inlineStr">
        <is>
          <t>化学</t>
        </is>
      </c>
      <c r="B35" s="848" t="inlineStr">
        <is>
          <t>標準</t>
        </is>
      </c>
      <c r="C35" s="848" t="inlineStr">
        <is>
          <t>共通</t>
        </is>
      </c>
      <c r="D35" s="848" t="inlineStr">
        <is>
          <t>共通</t>
        </is>
      </c>
      <c r="E35" s="848" t="inlineStr">
        <is>
          <t>（要確認）</t>
        </is>
      </c>
      <c r="F35" s="848" t="inlineStr">
        <is>
          <t>標準化学</t>
        </is>
      </c>
      <c r="G35" s="848" t="inlineStr">
        <is>
          <t>あり</t>
        </is>
      </c>
      <c r="H35" s="848" t="inlineStr">
        <is>
          <t>あり</t>
        </is>
      </c>
      <c r="I35" s="852" t="inlineStr">
        <is>
          <t>仮（要確認）</t>
        </is>
      </c>
    </row>
    <row r="36">
      <c r="A36" s="848" t="inlineStr">
        <is>
          <t>化学</t>
        </is>
      </c>
      <c r="B36" s="848" t="inlineStr">
        <is>
          <t>基礎</t>
        </is>
      </c>
      <c r="C36" s="848" t="inlineStr">
        <is>
          <t>共通</t>
        </is>
      </c>
      <c r="D36" s="848" t="inlineStr">
        <is>
          <t>共通</t>
        </is>
      </c>
      <c r="E36" s="848" t="inlineStr">
        <is>
          <t>（要確認）</t>
        </is>
      </c>
      <c r="F36" s="848" t="inlineStr">
        <is>
          <t>基礎化学</t>
        </is>
      </c>
      <c r="G36" s="848" t="inlineStr">
        <is>
          <t>あり</t>
        </is>
      </c>
      <c r="H36" s="848" t="inlineStr">
        <is>
          <t>あり</t>
        </is>
      </c>
      <c r="I36" s="852" t="inlineStr">
        <is>
          <t>仮（要確認）</t>
        </is>
      </c>
    </row>
    <row r="37">
      <c r="A37" s="848" t="inlineStr">
        <is>
          <t>生物</t>
        </is>
      </c>
      <c r="B37" s="848" t="inlineStr">
        <is>
          <t>難関</t>
        </is>
      </c>
      <c r="C37" s="848" t="inlineStr">
        <is>
          <t>共通</t>
        </is>
      </c>
      <c r="D37" s="848" t="inlineStr">
        <is>
          <t>共通</t>
        </is>
      </c>
      <c r="E37" s="848" t="inlineStr">
        <is>
          <t>（要確認）</t>
        </is>
      </c>
      <c r="F37" s="848" t="inlineStr">
        <is>
          <t>難関大生物</t>
        </is>
      </c>
      <c r="G37" s="848" t="inlineStr">
        <is>
          <t>あり</t>
        </is>
      </c>
      <c r="H37" s="848" t="inlineStr">
        <is>
          <t>あり</t>
        </is>
      </c>
      <c r="I37" s="852" t="inlineStr">
        <is>
          <t>仮（要確認）</t>
        </is>
      </c>
    </row>
    <row r="38">
      <c r="A38" s="848" t="inlineStr">
        <is>
          <t>生物</t>
        </is>
      </c>
      <c r="B38" s="848" t="inlineStr">
        <is>
          <t>標準</t>
        </is>
      </c>
      <c r="C38" s="848" t="inlineStr">
        <is>
          <t>共通</t>
        </is>
      </c>
      <c r="D38" s="848" t="inlineStr">
        <is>
          <t>共通</t>
        </is>
      </c>
      <c r="E38" s="848" t="inlineStr">
        <is>
          <t>（要確認）</t>
        </is>
      </c>
      <c r="F38" s="848" t="inlineStr">
        <is>
          <t>標準生物</t>
        </is>
      </c>
      <c r="G38" s="848" t="inlineStr">
        <is>
          <t>あり</t>
        </is>
      </c>
      <c r="H38" s="848" t="inlineStr">
        <is>
          <t>あり</t>
        </is>
      </c>
      <c r="I38" s="852" t="inlineStr">
        <is>
          <t>仮（要確認）</t>
        </is>
      </c>
    </row>
    <row r="39">
      <c r="A39" s="848" t="inlineStr">
        <is>
          <t>生物</t>
        </is>
      </c>
      <c r="B39" s="848" t="inlineStr">
        <is>
          <t>基礎</t>
        </is>
      </c>
      <c r="C39" s="848" t="inlineStr">
        <is>
          <t>共通</t>
        </is>
      </c>
      <c r="D39" s="848" t="inlineStr">
        <is>
          <t>共通</t>
        </is>
      </c>
      <c r="E39" s="848" t="inlineStr">
        <is>
          <t>（要確認）</t>
        </is>
      </c>
      <c r="F39" s="848" t="inlineStr">
        <is>
          <t>基礎生物</t>
        </is>
      </c>
      <c r="G39" s="848" t="inlineStr">
        <is>
          <t>あり</t>
        </is>
      </c>
      <c r="H39" s="848" t="inlineStr">
        <is>
          <t>あり</t>
        </is>
      </c>
      <c r="I39" s="852" t="inlineStr">
        <is>
          <t>仮（要確認）</t>
        </is>
      </c>
    </row>
    <row r="41">
      <c r="A41" s="853" t="inlineStr">
        <is>
          <t>共通テスト対策講座（9月スタート案）</t>
        </is>
      </c>
    </row>
    <row r="42">
      <c r="A42" s="848" t="inlineStr">
        <is>
          <t>英語</t>
        </is>
      </c>
      <c r="B42" s="848" t="inlineStr">
        <is>
          <t>共テ</t>
        </is>
      </c>
      <c r="C42" s="848" t="inlineStr">
        <is>
          <t>共通</t>
        </is>
      </c>
      <c r="D42" s="848" t="inlineStr">
        <is>
          <t>英語</t>
        </is>
      </c>
      <c r="E42" s="848" t="inlineStr">
        <is>
          <t>G3EQ</t>
        </is>
      </c>
      <c r="F42" s="848" t="inlineStr">
        <is>
          <t>学研 共通テスト 英語</t>
        </is>
      </c>
      <c r="G42" s="848" t="inlineStr"/>
      <c r="H42" s="848" t="inlineStr"/>
      <c r="I42" s="848" t="inlineStr">
        <is>
          <t>既存ファイル記載</t>
        </is>
      </c>
    </row>
    <row r="43">
      <c r="A43" s="848" t="inlineStr">
        <is>
          <t>数学</t>
        </is>
      </c>
      <c r="B43" s="848" t="inlineStr">
        <is>
          <t>共テ</t>
        </is>
      </c>
      <c r="C43" s="848" t="inlineStr">
        <is>
          <t>共通</t>
        </is>
      </c>
      <c r="D43" s="848" t="inlineStr">
        <is>
          <t>数学</t>
        </is>
      </c>
      <c r="E43" s="848" t="inlineStr">
        <is>
          <t>G3M1Q</t>
        </is>
      </c>
      <c r="F43" s="848" t="inlineStr">
        <is>
          <t>学研 共通テスト 数学Ⅰ・A</t>
        </is>
      </c>
      <c r="G43" s="848" t="inlineStr"/>
      <c r="H43" s="848" t="inlineStr"/>
      <c r="I43" s="848" t="inlineStr">
        <is>
          <t>既存ファイル記載</t>
        </is>
      </c>
    </row>
    <row r="44">
      <c r="A44" s="848" t="inlineStr">
        <is>
          <t>数学</t>
        </is>
      </c>
      <c r="B44" s="848" t="inlineStr">
        <is>
          <t>共テ</t>
        </is>
      </c>
      <c r="C44" s="848" t="inlineStr">
        <is>
          <t>共通</t>
        </is>
      </c>
      <c r="D44" s="848" t="inlineStr">
        <is>
          <t>数学</t>
        </is>
      </c>
      <c r="E44" s="848" t="inlineStr">
        <is>
          <t>G3M2Q</t>
        </is>
      </c>
      <c r="F44" s="848" t="inlineStr">
        <is>
          <t>学研 共通テスト 数学Ⅱ・B・C</t>
        </is>
      </c>
      <c r="G44" s="848" t="inlineStr"/>
      <c r="H44" s="848" t="inlineStr"/>
      <c r="I44" s="848" t="inlineStr">
        <is>
          <t>既存ファイル記載</t>
        </is>
      </c>
    </row>
    <row r="45">
      <c r="A45" s="848" t="inlineStr">
        <is>
          <t>現代文</t>
        </is>
      </c>
      <c r="B45" s="848" t="inlineStr">
        <is>
          <t>共テ</t>
        </is>
      </c>
      <c r="C45" s="848" t="inlineStr">
        <is>
          <t>共通</t>
        </is>
      </c>
      <c r="D45" s="848" t="inlineStr">
        <is>
          <t>現代文</t>
        </is>
      </c>
      <c r="E45" s="848" t="inlineStr">
        <is>
          <t>G3LGQ</t>
        </is>
      </c>
      <c r="F45" s="848" t="inlineStr">
        <is>
          <t>学研 共通テスト 現代文</t>
        </is>
      </c>
      <c r="G45" s="848" t="inlineStr"/>
      <c r="H45" s="848" t="inlineStr"/>
      <c r="I45" s="848" t="inlineStr">
        <is>
          <t>既存ファイル記載</t>
        </is>
      </c>
    </row>
    <row r="46">
      <c r="A46" s="848" t="inlineStr">
        <is>
          <t>古文</t>
        </is>
      </c>
      <c r="B46" s="848" t="inlineStr">
        <is>
          <t>共テ</t>
        </is>
      </c>
      <c r="C46" s="848" t="inlineStr">
        <is>
          <t>共通</t>
        </is>
      </c>
      <c r="D46" s="848" t="inlineStr">
        <is>
          <t>古文</t>
        </is>
      </c>
      <c r="E46" s="848" t="inlineStr">
        <is>
          <t>G3LCQ</t>
        </is>
      </c>
      <c r="F46" s="848" t="inlineStr">
        <is>
          <t>学研 共通テスト 古文</t>
        </is>
      </c>
      <c r="G46" s="848" t="inlineStr"/>
      <c r="H46" s="848" t="inlineStr"/>
      <c r="I46" s="848" t="inlineStr">
        <is>
          <t>既存ファイル記載</t>
        </is>
      </c>
    </row>
    <row r="47">
      <c r="A47" s="848" t="inlineStr">
        <is>
          <t>漢文</t>
        </is>
      </c>
      <c r="B47" s="848" t="inlineStr">
        <is>
          <t>共テ</t>
        </is>
      </c>
      <c r="C47" s="848" t="inlineStr">
        <is>
          <t>共通</t>
        </is>
      </c>
      <c r="D47" s="848" t="inlineStr">
        <is>
          <t>漢文</t>
        </is>
      </c>
      <c r="E47" s="848" t="inlineStr">
        <is>
          <t>G3LKQ</t>
        </is>
      </c>
      <c r="F47" s="848" t="inlineStr">
        <is>
          <t>学研 共通テスト 漢文</t>
        </is>
      </c>
      <c r="G47" s="848" t="inlineStr"/>
      <c r="H47" s="848" t="inlineStr"/>
      <c r="I47" s="848" t="inlineStr">
        <is>
          <t>既存ファイル記載</t>
        </is>
      </c>
    </row>
    <row r="48">
      <c r="A48" s="848" t="inlineStr">
        <is>
          <t>日本史</t>
        </is>
      </c>
      <c r="B48" s="848" t="inlineStr">
        <is>
          <t>共テ</t>
        </is>
      </c>
      <c r="C48" s="848" t="inlineStr">
        <is>
          <t>共通</t>
        </is>
      </c>
      <c r="D48" s="848" t="inlineStr">
        <is>
          <t>日本史</t>
        </is>
      </c>
      <c r="E48" s="848" t="inlineStr">
        <is>
          <t>G3JQ</t>
        </is>
      </c>
      <c r="F48" s="848" t="inlineStr">
        <is>
          <t>学研 共通テスト 日本史</t>
        </is>
      </c>
      <c r="G48" s="848" t="inlineStr"/>
      <c r="H48" s="848" t="inlineStr"/>
      <c r="I48" s="848" t="inlineStr">
        <is>
          <t>既存ファイル記載</t>
        </is>
      </c>
    </row>
    <row r="49">
      <c r="A49" s="848" t="inlineStr">
        <is>
          <t>世界史</t>
        </is>
      </c>
      <c r="B49" s="848" t="inlineStr">
        <is>
          <t>共テ</t>
        </is>
      </c>
      <c r="C49" s="848" t="inlineStr">
        <is>
          <t>共通</t>
        </is>
      </c>
      <c r="D49" s="848" t="inlineStr">
        <is>
          <t>世界史</t>
        </is>
      </c>
      <c r="E49" s="848" t="inlineStr">
        <is>
          <t>G3WQ</t>
        </is>
      </c>
      <c r="F49" s="848" t="inlineStr">
        <is>
          <t>学研 共通テスト 世界史</t>
        </is>
      </c>
      <c r="G49" s="848" t="inlineStr"/>
      <c r="H49" s="848" t="inlineStr"/>
      <c r="I49" s="848" t="inlineStr">
        <is>
          <t>既存ファイル記載</t>
        </is>
      </c>
    </row>
    <row r="50">
      <c r="A50" s="848" t="inlineStr">
        <is>
          <t>地理</t>
        </is>
      </c>
      <c r="B50" s="848" t="inlineStr">
        <is>
          <t>共テ</t>
        </is>
      </c>
      <c r="C50" s="848" t="inlineStr">
        <is>
          <t>共通</t>
        </is>
      </c>
      <c r="D50" s="848" t="inlineStr">
        <is>
          <t>地理</t>
        </is>
      </c>
      <c r="E50" s="848" t="inlineStr">
        <is>
          <t>G3GQ</t>
        </is>
      </c>
      <c r="F50" s="848" t="inlineStr">
        <is>
          <t>学研 共通テスト 地理</t>
        </is>
      </c>
      <c r="G50" s="848" t="inlineStr"/>
      <c r="H50" s="848" t="inlineStr"/>
      <c r="I50" s="848" t="inlineStr">
        <is>
          <t>既存ファイル記載</t>
        </is>
      </c>
    </row>
    <row r="51">
      <c r="A51" s="848" t="inlineStr">
        <is>
          <t>物理</t>
        </is>
      </c>
      <c r="B51" s="848" t="inlineStr">
        <is>
          <t>共テ</t>
        </is>
      </c>
      <c r="C51" s="848" t="inlineStr">
        <is>
          <t>共通</t>
        </is>
      </c>
      <c r="D51" s="848" t="inlineStr">
        <is>
          <t>物理</t>
        </is>
      </c>
      <c r="E51" s="848" t="inlineStr">
        <is>
          <t>G3PQ</t>
        </is>
      </c>
      <c r="F51" s="848" t="inlineStr">
        <is>
          <t>学研 共通テスト 物理</t>
        </is>
      </c>
      <c r="G51" s="848" t="inlineStr"/>
      <c r="H51" s="848" t="inlineStr"/>
      <c r="I51" s="848" t="inlineStr">
        <is>
          <t>既存ファイル記載</t>
        </is>
      </c>
    </row>
    <row r="52">
      <c r="A52" s="848" t="inlineStr">
        <is>
          <t>物理</t>
        </is>
      </c>
      <c r="B52" s="848" t="inlineStr">
        <is>
          <t>共テ</t>
        </is>
      </c>
      <c r="C52" s="848" t="inlineStr">
        <is>
          <t>共通</t>
        </is>
      </c>
      <c r="D52" s="848" t="inlineStr">
        <is>
          <t>物理基礎</t>
        </is>
      </c>
      <c r="E52" s="848" t="inlineStr">
        <is>
          <t>G3PKQ</t>
        </is>
      </c>
      <c r="F52" s="848" t="inlineStr">
        <is>
          <t>学研 共通テスト 物理基礎</t>
        </is>
      </c>
      <c r="G52" s="848" t="inlineStr"/>
      <c r="H52" s="848" t="inlineStr"/>
      <c r="I52" s="848" t="inlineStr">
        <is>
          <t>既存ファイル記載</t>
        </is>
      </c>
    </row>
    <row r="53">
      <c r="A53" s="848" t="inlineStr">
        <is>
          <t>化学</t>
        </is>
      </c>
      <c r="B53" s="848" t="inlineStr">
        <is>
          <t>共テ</t>
        </is>
      </c>
      <c r="C53" s="848" t="inlineStr">
        <is>
          <t>共通</t>
        </is>
      </c>
      <c r="D53" s="848" t="inlineStr">
        <is>
          <t>化学</t>
        </is>
      </c>
      <c r="E53" s="848" t="inlineStr">
        <is>
          <t>G3CQ</t>
        </is>
      </c>
      <c r="F53" s="848" t="inlineStr">
        <is>
          <t>学研 共通テスト 化学</t>
        </is>
      </c>
      <c r="G53" s="848" t="inlineStr"/>
      <c r="H53" s="848" t="inlineStr"/>
      <c r="I53" s="848" t="inlineStr">
        <is>
          <t>既存ファイル記載</t>
        </is>
      </c>
    </row>
    <row r="54">
      <c r="A54" s="848" t="inlineStr">
        <is>
          <t>化学</t>
        </is>
      </c>
      <c r="B54" s="848" t="inlineStr">
        <is>
          <t>共テ</t>
        </is>
      </c>
      <c r="C54" s="848" t="inlineStr">
        <is>
          <t>共通</t>
        </is>
      </c>
      <c r="D54" s="848" t="inlineStr">
        <is>
          <t>化学基礎</t>
        </is>
      </c>
      <c r="E54" s="848" t="inlineStr">
        <is>
          <t>G3CKQ</t>
        </is>
      </c>
      <c r="F54" s="848" t="inlineStr">
        <is>
          <t>学研 共通テスト 化学基礎</t>
        </is>
      </c>
      <c r="G54" s="848" t="inlineStr"/>
      <c r="H54" s="848" t="inlineStr"/>
      <c r="I54" s="848" t="inlineStr">
        <is>
          <t>既存ファイル記載</t>
        </is>
      </c>
    </row>
    <row r="55">
      <c r="A55" s="848" t="inlineStr">
        <is>
          <t>生物</t>
        </is>
      </c>
      <c r="B55" s="848" t="inlineStr">
        <is>
          <t>共テ</t>
        </is>
      </c>
      <c r="C55" s="848" t="inlineStr">
        <is>
          <t>共通</t>
        </is>
      </c>
      <c r="D55" s="848" t="inlineStr">
        <is>
          <t>生物</t>
        </is>
      </c>
      <c r="E55" s="848" t="inlineStr">
        <is>
          <t>G3BQ</t>
        </is>
      </c>
      <c r="F55" s="848" t="inlineStr">
        <is>
          <t>学研 共通テスト 生物</t>
        </is>
      </c>
      <c r="G55" s="848" t="inlineStr"/>
      <c r="H55" s="848" t="inlineStr"/>
      <c r="I55" s="848" t="inlineStr">
        <is>
          <t>既存ファイル記載</t>
        </is>
      </c>
    </row>
    <row r="56">
      <c r="A56" s="848" t="inlineStr">
        <is>
          <t>生物</t>
        </is>
      </c>
      <c r="B56" s="848" t="inlineStr">
        <is>
          <t>共テ</t>
        </is>
      </c>
      <c r="C56" s="848" t="inlineStr">
        <is>
          <t>共通</t>
        </is>
      </c>
      <c r="D56" s="848" t="inlineStr">
        <is>
          <t>生物基礎</t>
        </is>
      </c>
      <c r="E56" s="848" t="inlineStr">
        <is>
          <t>G3BKQ</t>
        </is>
      </c>
      <c r="F56" s="848" t="inlineStr">
        <is>
          <t>学研 共通テスト 生物基礎</t>
        </is>
      </c>
      <c r="G56" s="848" t="inlineStr"/>
      <c r="H56" s="848" t="inlineStr"/>
      <c r="I56" s="848" t="inlineStr">
        <is>
          <t>既存ファイル記載</t>
        </is>
      </c>
    </row>
    <row r="57">
      <c r="A57" s="848" t="inlineStr">
        <is>
          <t>公共・情報</t>
        </is>
      </c>
      <c r="B57" s="848" t="inlineStr">
        <is>
          <t>共テ</t>
        </is>
      </c>
      <c r="C57" s="848" t="inlineStr">
        <is>
          <t>共通</t>
        </is>
      </c>
      <c r="D57" s="848" t="inlineStr">
        <is>
          <t>公共・政経</t>
        </is>
      </c>
      <c r="E57" s="848" t="inlineStr">
        <is>
          <t>3PSQ</t>
        </is>
      </c>
      <c r="F57" s="848" t="inlineStr">
        <is>
          <t>大学入学共通テスト 公共，政治経済</t>
        </is>
      </c>
      <c r="G57" s="848" t="inlineStr"/>
      <c r="H57" s="848" t="inlineStr"/>
      <c r="I57" s="848" t="inlineStr">
        <is>
          <t>既存ファイル記載</t>
        </is>
      </c>
    </row>
    <row r="58">
      <c r="A58" s="848" t="inlineStr">
        <is>
          <t>公共・情報</t>
        </is>
      </c>
      <c r="B58" s="848" t="inlineStr">
        <is>
          <t>共テ</t>
        </is>
      </c>
      <c r="C58" s="848" t="inlineStr">
        <is>
          <t>共通</t>
        </is>
      </c>
      <c r="D58" s="848" t="inlineStr">
        <is>
          <t>公共・倫理</t>
        </is>
      </c>
      <c r="E58" s="848" t="inlineStr">
        <is>
          <t>3PRQ</t>
        </is>
      </c>
      <c r="F58" s="848" t="inlineStr">
        <is>
          <t>大学入学共通テスト 公共，倫理</t>
        </is>
      </c>
      <c r="G58" s="848" t="inlineStr"/>
      <c r="H58" s="848" t="inlineStr"/>
      <c r="I58" s="848" t="inlineStr">
        <is>
          <t>既存ファイル記載</t>
        </is>
      </c>
    </row>
    <row r="59">
      <c r="A59" s="848" t="inlineStr">
        <is>
          <t>公共・情報</t>
        </is>
      </c>
      <c r="B59" s="848" t="inlineStr">
        <is>
          <t>共テ</t>
        </is>
      </c>
      <c r="C59" s="848" t="inlineStr">
        <is>
          <t>共通</t>
        </is>
      </c>
      <c r="D59" s="848" t="inlineStr">
        <is>
          <t>情報Ⅰ</t>
        </is>
      </c>
      <c r="E59" s="848" t="inlineStr">
        <is>
          <t>3IQ</t>
        </is>
      </c>
      <c r="F59" s="848" t="inlineStr">
        <is>
          <t>大学入学共通テスト 情報Ⅰ</t>
        </is>
      </c>
      <c r="G59" s="848" t="inlineStr"/>
      <c r="H59" s="848" t="inlineStr"/>
      <c r="I59" s="848" t="inlineStr">
        <is>
          <t>既存ファイル記載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DB">
    <tabColor rgb="00E88A12"/>
    <outlinePr summaryBelow="1" summaryRight="1"/>
    <pageSetUpPr/>
  </sheetPr>
  <dimension ref="A1:V313"/>
  <sheetViews>
    <sheetView tabSelected="0" workbookViewId="0">
      <pane xSplit="5" ySplit="1" topLeftCell="F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style="466" min="1" max="1"/>
    <col width="9" customWidth="1" style="466" min="2" max="2"/>
    <col width="8" customWidth="1" style="466" min="3" max="3"/>
    <col width="6" customWidth="1" style="466" min="4" max="4"/>
    <col width="5" customWidth="1" style="466" min="5" max="5"/>
    <col width="16" customWidth="1" style="466" min="6" max="6"/>
    <col width="16" customWidth="1" style="466" min="7" max="7"/>
    <col width="16" customWidth="1" style="466" min="8" max="8"/>
    <col width="16" customWidth="1" style="466" min="9" max="9"/>
    <col width="16" customWidth="1" style="466" min="10" max="10"/>
    <col width="16" customWidth="1" style="466" min="11" max="11"/>
    <col width="16" customWidth="1" style="466" min="12" max="12"/>
    <col width="16" customWidth="1" style="466" min="13" max="13"/>
    <col width="16" customWidth="1" style="466" min="14" max="14"/>
    <col width="16" customWidth="1" style="466" min="15" max="15"/>
    <col width="16" customWidth="1" style="466" min="16" max="16"/>
    <col width="16" customWidth="1" style="466" min="17" max="17"/>
    <col width="16" customWidth="1" style="466" min="18" max="18"/>
    <col width="16" customWidth="1" style="466" min="19" max="19"/>
    <col width="16" customWidth="1" style="466" min="20" max="20"/>
    <col width="16" customWidth="1" style="466" min="21" max="21"/>
    <col width="16" customWidth="1" style="466" min="22" max="22"/>
  </cols>
  <sheetData>
    <row r="1" ht="30" customHeight="1" s="466">
      <c r="A1" s="846" t="inlineStr">
        <is>
          <t>キー（系統|科目|レベル|種別）</t>
        </is>
      </c>
      <c r="B1" s="846" t="inlineStr">
        <is>
          <t>系統</t>
        </is>
      </c>
      <c r="C1" s="846" t="inlineStr">
        <is>
          <t>科目</t>
        </is>
      </c>
      <c r="D1" s="846" t="inlineStr">
        <is>
          <t>レベル</t>
        </is>
      </c>
      <c r="E1" s="846" t="inlineStr">
        <is>
          <t>種別</t>
        </is>
      </c>
      <c r="F1" s="854" t="inlineStr">
        <is>
          <t>1月</t>
        </is>
      </c>
      <c r="G1" s="854" t="inlineStr">
        <is>
          <t>2月</t>
        </is>
      </c>
      <c r="H1" s="854" t="inlineStr">
        <is>
          <t>3月</t>
        </is>
      </c>
      <c r="I1" s="854" t="inlineStr">
        <is>
          <t>春期講習</t>
        </is>
      </c>
      <c r="J1" s="854" t="inlineStr">
        <is>
          <t>4月</t>
        </is>
      </c>
      <c r="K1" s="854" t="inlineStr">
        <is>
          <t>5月</t>
        </is>
      </c>
      <c r="L1" s="854" t="inlineStr">
        <is>
          <t>6月</t>
        </is>
      </c>
      <c r="M1" s="854" t="inlineStr">
        <is>
          <t>7月</t>
        </is>
      </c>
      <c r="N1" s="854" t="inlineStr">
        <is>
          <t>8月</t>
        </is>
      </c>
      <c r="O1" s="854" t="inlineStr">
        <is>
          <t>夏期Ⅰ期</t>
        </is>
      </c>
      <c r="P1" s="854" t="inlineStr">
        <is>
          <t>夏期Ⅱ期</t>
        </is>
      </c>
      <c r="Q1" s="855" t="inlineStr">
        <is>
          <t>9月</t>
        </is>
      </c>
      <c r="R1" s="855" t="inlineStr">
        <is>
          <t>10月</t>
        </is>
      </c>
      <c r="S1" s="855" t="inlineStr">
        <is>
          <t>11月</t>
        </is>
      </c>
      <c r="T1" s="855" t="inlineStr">
        <is>
          <t>12月</t>
        </is>
      </c>
      <c r="U1" s="855" t="inlineStr">
        <is>
          <t>直前Ⅰ期</t>
        </is>
      </c>
      <c r="V1" s="855" t="inlineStr">
        <is>
          <t>直前Ⅱ期</t>
        </is>
      </c>
    </row>
    <row r="2">
      <c r="A2" s="856" t="inlineStr">
        <is>
          <t>国立文系|英語|基礎|講座</t>
        </is>
      </c>
      <c r="B2" s="856" t="inlineStr">
        <is>
          <t>国立文系</t>
        </is>
      </c>
      <c r="C2" s="856" t="inlineStr">
        <is>
          <t>英語</t>
        </is>
      </c>
      <c r="D2" s="856" t="inlineStr">
        <is>
          <t>基礎</t>
        </is>
      </c>
      <c r="E2" s="856" t="inlineStr">
        <is>
          <t>講座</t>
        </is>
      </c>
      <c r="F2" s="856" t="n"/>
      <c r="G2" s="856" t="inlineStr">
        <is>
          <t>基礎英語（文法・構文）</t>
        </is>
      </c>
      <c r="H2" s="856" t="inlineStr">
        <is>
          <t>←</t>
        </is>
      </c>
      <c r="I2" s="856" t="inlineStr">
        <is>
          <t>←</t>
        </is>
      </c>
      <c r="J2" s="856" t="inlineStr">
        <is>
          <t>←</t>
        </is>
      </c>
      <c r="K2" s="856" t="inlineStr">
        <is>
          <t>←</t>
        </is>
      </c>
      <c r="L2" s="856" t="inlineStr">
        <is>
          <t>←</t>
        </is>
      </c>
      <c r="M2" s="856" t="inlineStr">
        <is>
          <t>←</t>
        </is>
      </c>
      <c r="N2" s="856" t="inlineStr">
        <is>
          <t>←</t>
        </is>
      </c>
      <c r="O2" s="856" t="inlineStr">
        <is>
          <t>夏期講習</t>
        </is>
      </c>
      <c r="P2" s="856" t="inlineStr">
        <is>
          <t>←</t>
        </is>
      </c>
      <c r="Q2" s="856" t="inlineStr">
        <is>
          <t>基礎英語（文法・構文）</t>
        </is>
      </c>
      <c r="R2" s="856" t="inlineStr">
        <is>
          <t>←</t>
        </is>
      </c>
      <c r="S2" s="856" t="inlineStr">
        <is>
          <t>←</t>
        </is>
      </c>
      <c r="T2" s="856" t="inlineStr">
        <is>
          <t>←</t>
        </is>
      </c>
      <c r="U2" s="856" t="inlineStr">
        <is>
          <t>直前講習</t>
        </is>
      </c>
      <c r="V2" s="856" t="inlineStr">
        <is>
          <t>←</t>
        </is>
      </c>
    </row>
    <row r="3">
      <c r="A3" s="857" t="inlineStr">
        <is>
          <t>国立文系|英語|基礎|回</t>
        </is>
      </c>
      <c r="B3" s="857" t="inlineStr">
        <is>
          <t>国立文系</t>
        </is>
      </c>
      <c r="C3" s="857" t="inlineStr">
        <is>
          <t>英語</t>
        </is>
      </c>
      <c r="D3" s="857" t="inlineStr">
        <is>
          <t>基礎</t>
        </is>
      </c>
      <c r="E3" s="857" t="inlineStr">
        <is>
          <t>回</t>
        </is>
      </c>
      <c r="F3" s="857" t="n"/>
      <c r="G3" s="857" t="inlineStr">
        <is>
          <t>練成1</t>
        </is>
      </c>
      <c r="H3" s="857" t="inlineStr">
        <is>
          <t>練成2</t>
        </is>
      </c>
      <c r="I3" s="857" t="inlineStr">
        <is>
          <t>練成3</t>
        </is>
      </c>
      <c r="J3" s="857" t="inlineStr">
        <is>
          <t>練成4</t>
        </is>
      </c>
      <c r="K3" s="857" t="inlineStr">
        <is>
          <t>練成5</t>
        </is>
      </c>
      <c r="L3" s="857" t="inlineStr">
        <is>
          <t>練成6</t>
        </is>
      </c>
      <c r="M3" s="857" t="inlineStr">
        <is>
          <t>練成7</t>
        </is>
      </c>
      <c r="N3" s="857" t="inlineStr">
        <is>
          <t>練成8</t>
        </is>
      </c>
      <c r="O3" s="857" t="inlineStr">
        <is>
          <t>夏期1</t>
        </is>
      </c>
      <c r="P3" s="857" t="inlineStr">
        <is>
          <t>夏期2</t>
        </is>
      </c>
      <c r="Q3" s="857" t="inlineStr">
        <is>
          <t>実戦1</t>
        </is>
      </c>
      <c r="R3" s="857" t="inlineStr">
        <is>
          <t>実戦2</t>
        </is>
      </c>
      <c r="S3" s="857" t="inlineStr">
        <is>
          <t>実戦3</t>
        </is>
      </c>
      <c r="T3" s="857" t="inlineStr">
        <is>
          <t>実戦4</t>
        </is>
      </c>
      <c r="U3" s="857" t="inlineStr">
        <is>
          <t>直前1</t>
        </is>
      </c>
      <c r="V3" s="857" t="inlineStr">
        <is>
          <t>※</t>
        </is>
      </c>
    </row>
    <row r="4">
      <c r="A4" s="857" t="inlineStr">
        <is>
          <t>国立文系|英語|基礎|塾</t>
        </is>
      </c>
      <c r="B4" s="857" t="inlineStr">
        <is>
          <t>国立文系</t>
        </is>
      </c>
      <c r="C4" s="857" t="inlineStr">
        <is>
          <t>英語</t>
        </is>
      </c>
      <c r="D4" s="857" t="inlineStr">
        <is>
          <t>基礎</t>
        </is>
      </c>
      <c r="E4" s="857" t="inlineStr">
        <is>
          <t>塾</t>
        </is>
      </c>
      <c r="F4" s="857" t="inlineStr">
        <is>
          <t>【塾】大岩のいちばんはじめの英文法【超基礎文法編】</t>
        </is>
      </c>
      <c r="G4" s="857" t="inlineStr">
        <is>
          <t>←</t>
        </is>
      </c>
      <c r="H4" s="857" t="inlineStr">
        <is>
          <t>←</t>
        </is>
      </c>
      <c r="I4" s="857" t="inlineStr">
        <is>
          <t>←</t>
        </is>
      </c>
      <c r="J4" s="857" t="inlineStr">
        <is>
          <t>【塾】英文法・語法 Vintage＋入門英文解釈の技術70</t>
        </is>
      </c>
      <c r="K4" s="857" t="inlineStr">
        <is>
          <t>←</t>
        </is>
      </c>
      <c r="L4" s="857" t="inlineStr">
        <is>
          <t>←</t>
        </is>
      </c>
      <c r="M4" s="857" t="inlineStr">
        <is>
          <t>←</t>
        </is>
      </c>
      <c r="N4" s="857" t="inlineStr">
        <is>
          <t>←</t>
        </is>
      </c>
      <c r="O4" s="857" t="inlineStr">
        <is>
          <t>←</t>
        </is>
      </c>
      <c r="P4" s="857" t="inlineStr">
        <is>
          <t>←</t>
        </is>
      </c>
      <c r="Q4" s="857" t="inlineStr">
        <is>
          <t>【塾】やっておきたい英語長文300＋共通テスト対策</t>
        </is>
      </c>
      <c r="R4" s="857" t="inlineStr">
        <is>
          <t>←</t>
        </is>
      </c>
      <c r="S4" s="857" t="inlineStr">
        <is>
          <t>←</t>
        </is>
      </c>
      <c r="T4" s="857" t="inlineStr">
        <is>
          <t>←</t>
        </is>
      </c>
      <c r="U4" s="857" t="inlineStr">
        <is>
          <t>【塾】{志望校}過去問</t>
        </is>
      </c>
      <c r="V4" s="857" t="inlineStr">
        <is>
          <t>←</t>
        </is>
      </c>
    </row>
    <row r="5">
      <c r="A5" s="857" t="inlineStr">
        <is>
          <t>国立文系|英語|基礎|家</t>
        </is>
      </c>
      <c r="B5" s="857" t="inlineStr">
        <is>
          <t>国立文系</t>
        </is>
      </c>
      <c r="C5" s="857" t="inlineStr">
        <is>
          <t>英語</t>
        </is>
      </c>
      <c r="D5" s="857" t="inlineStr">
        <is>
          <t>基礎</t>
        </is>
      </c>
      <c r="E5" s="857" t="inlineStr">
        <is>
          <t>家</t>
        </is>
      </c>
      <c r="F5" s="857" t="inlineStr">
        <is>
          <t>【家】ターゲット1400（毎週テスト）</t>
        </is>
      </c>
      <c r="G5" s="857" t="inlineStr">
        <is>
          <t>←</t>
        </is>
      </c>
      <c r="H5" s="857" t="inlineStr">
        <is>
          <t>←</t>
        </is>
      </c>
      <c r="I5" s="857" t="inlineStr">
        <is>
          <t>←</t>
        </is>
      </c>
      <c r="J5" s="857" t="inlineStr">
        <is>
          <t>←</t>
        </is>
      </c>
      <c r="K5" s="857" t="inlineStr">
        <is>
          <t>←</t>
        </is>
      </c>
      <c r="L5" s="857" t="inlineStr">
        <is>
          <t>←</t>
        </is>
      </c>
      <c r="M5" s="857" t="inlineStr">
        <is>
          <t>←</t>
        </is>
      </c>
      <c r="N5" s="857" t="inlineStr">
        <is>
          <t>←</t>
        </is>
      </c>
      <c r="O5" s="857" t="inlineStr">
        <is>
          <t>←</t>
        </is>
      </c>
      <c r="P5" s="857" t="inlineStr">
        <is>
          <t>←</t>
        </is>
      </c>
      <c r="Q5" s="857" t="inlineStr">
        <is>
          <t>【家】ターゲット1400仕上げ→1900＋共通テスト過去問</t>
        </is>
      </c>
      <c r="R5" s="857" t="inlineStr">
        <is>
          <t>←</t>
        </is>
      </c>
      <c r="S5" s="857" t="inlineStr">
        <is>
          <t>←</t>
        </is>
      </c>
      <c r="T5" s="857" t="inlineStr">
        <is>
          <t>←</t>
        </is>
      </c>
      <c r="U5" s="857" t="inlineStr">
        <is>
          <t>【家】{志望校}過去問</t>
        </is>
      </c>
      <c r="V5" s="857" t="inlineStr">
        <is>
          <t>←</t>
        </is>
      </c>
    </row>
    <row r="6">
      <c r="A6" s="856" t="inlineStr">
        <is>
          <t>国立文系|英語|標準|講座</t>
        </is>
      </c>
      <c r="B6" s="856" t="inlineStr">
        <is>
          <t>国立文系</t>
        </is>
      </c>
      <c r="C6" s="856" t="inlineStr">
        <is>
          <t>英語</t>
        </is>
      </c>
      <c r="D6" s="856" t="inlineStr">
        <is>
          <t>標準</t>
        </is>
      </c>
      <c r="E6" s="856" t="inlineStr">
        <is>
          <t>講座</t>
        </is>
      </c>
      <c r="F6" s="856" t="n"/>
      <c r="G6" s="856" t="inlineStr">
        <is>
          <t>入試標準英語</t>
        </is>
      </c>
      <c r="H6" s="856" t="inlineStr">
        <is>
          <t>←</t>
        </is>
      </c>
      <c r="I6" s="856" t="inlineStr">
        <is>
          <t>←</t>
        </is>
      </c>
      <c r="J6" s="856" t="inlineStr">
        <is>
          <t>←</t>
        </is>
      </c>
      <c r="K6" s="856" t="inlineStr">
        <is>
          <t>←</t>
        </is>
      </c>
      <c r="L6" s="856" t="inlineStr">
        <is>
          <t>←</t>
        </is>
      </c>
      <c r="M6" s="856" t="inlineStr">
        <is>
          <t>←</t>
        </is>
      </c>
      <c r="N6" s="856" t="inlineStr">
        <is>
          <t>←</t>
        </is>
      </c>
      <c r="O6" s="856" t="inlineStr">
        <is>
          <t>夏期講習</t>
        </is>
      </c>
      <c r="P6" s="856" t="inlineStr">
        <is>
          <t>←</t>
        </is>
      </c>
      <c r="Q6" s="856" t="inlineStr">
        <is>
          <t>入試標準英語</t>
        </is>
      </c>
      <c r="R6" s="856" t="inlineStr">
        <is>
          <t>←</t>
        </is>
      </c>
      <c r="S6" s="856" t="inlineStr">
        <is>
          <t>←</t>
        </is>
      </c>
      <c r="T6" s="856" t="inlineStr">
        <is>
          <t>←</t>
        </is>
      </c>
      <c r="U6" s="856" t="inlineStr">
        <is>
          <t>直前講習</t>
        </is>
      </c>
      <c r="V6" s="856" t="inlineStr">
        <is>
          <t>←</t>
        </is>
      </c>
    </row>
    <row r="7">
      <c r="A7" s="857" t="inlineStr">
        <is>
          <t>国立文系|英語|標準|回</t>
        </is>
      </c>
      <c r="B7" s="857" t="inlineStr">
        <is>
          <t>国立文系</t>
        </is>
      </c>
      <c r="C7" s="857" t="inlineStr">
        <is>
          <t>英語</t>
        </is>
      </c>
      <c r="D7" s="857" t="inlineStr">
        <is>
          <t>標準</t>
        </is>
      </c>
      <c r="E7" s="857" t="inlineStr">
        <is>
          <t>回</t>
        </is>
      </c>
      <c r="F7" s="857" t="n"/>
      <c r="G7" s="857" t="inlineStr">
        <is>
          <t>練成1</t>
        </is>
      </c>
      <c r="H7" s="857" t="inlineStr">
        <is>
          <t>練成2</t>
        </is>
      </c>
      <c r="I7" s="857" t="inlineStr">
        <is>
          <t>練成3</t>
        </is>
      </c>
      <c r="J7" s="857" t="inlineStr">
        <is>
          <t>練成4</t>
        </is>
      </c>
      <c r="K7" s="857" t="inlineStr">
        <is>
          <t>練成5</t>
        </is>
      </c>
      <c r="L7" s="857" t="inlineStr">
        <is>
          <t>練成6</t>
        </is>
      </c>
      <c r="M7" s="857" t="inlineStr">
        <is>
          <t>練成7</t>
        </is>
      </c>
      <c r="N7" s="857" t="inlineStr">
        <is>
          <t>練成8</t>
        </is>
      </c>
      <c r="O7" s="857" t="inlineStr">
        <is>
          <t>夏期1</t>
        </is>
      </c>
      <c r="P7" s="857" t="inlineStr">
        <is>
          <t>夏期2</t>
        </is>
      </c>
      <c r="Q7" s="857" t="inlineStr">
        <is>
          <t>実戦1</t>
        </is>
      </c>
      <c r="R7" s="857" t="inlineStr">
        <is>
          <t>実戦2</t>
        </is>
      </c>
      <c r="S7" s="857" t="inlineStr">
        <is>
          <t>実戦3</t>
        </is>
      </c>
      <c r="T7" s="857" t="inlineStr">
        <is>
          <t>実戦4</t>
        </is>
      </c>
      <c r="U7" s="857" t="inlineStr">
        <is>
          <t>直前1</t>
        </is>
      </c>
      <c r="V7" s="857" t="inlineStr">
        <is>
          <t>※</t>
        </is>
      </c>
    </row>
    <row r="8">
      <c r="A8" s="857" t="inlineStr">
        <is>
          <t>国立文系|英語|標準|塾</t>
        </is>
      </c>
      <c r="B8" s="857" t="inlineStr">
        <is>
          <t>国立文系</t>
        </is>
      </c>
      <c r="C8" s="857" t="inlineStr">
        <is>
          <t>英語</t>
        </is>
      </c>
      <c r="D8" s="857" t="inlineStr">
        <is>
          <t>標準</t>
        </is>
      </c>
      <c r="E8" s="857" t="inlineStr">
        <is>
          <t>塾</t>
        </is>
      </c>
      <c r="F8" s="857" t="inlineStr">
        <is>
          <t>【塾】英文法・語法 Vintage</t>
        </is>
      </c>
      <c r="G8" s="857" t="inlineStr">
        <is>
          <t>←</t>
        </is>
      </c>
      <c r="H8" s="857" t="inlineStr">
        <is>
          <t>←</t>
        </is>
      </c>
      <c r="I8" s="857" t="inlineStr">
        <is>
          <t>←</t>
        </is>
      </c>
      <c r="J8" s="857" t="inlineStr">
        <is>
          <t>【塾】入門英文解釈の技術70（精読）</t>
        </is>
      </c>
      <c r="K8" s="857" t="inlineStr">
        <is>
          <t>←</t>
        </is>
      </c>
      <c r="L8" s="857" t="inlineStr">
        <is>
          <t>←</t>
        </is>
      </c>
      <c r="M8" s="857" t="inlineStr">
        <is>
          <t>←</t>
        </is>
      </c>
      <c r="N8" s="857" t="inlineStr">
        <is>
          <t>←</t>
        </is>
      </c>
      <c r="O8" s="857" t="inlineStr">
        <is>
          <t>←</t>
        </is>
      </c>
      <c r="P8" s="857" t="inlineStr">
        <is>
          <t>←</t>
        </is>
      </c>
      <c r="Q8" s="857" t="inlineStr">
        <is>
          <t>【塾】やっておきたい英語長文500</t>
        </is>
      </c>
      <c r="R8" s="857" t="inlineStr">
        <is>
          <t>←</t>
        </is>
      </c>
      <c r="S8" s="857" t="inlineStr">
        <is>
          <t>←</t>
        </is>
      </c>
      <c r="T8" s="857" t="inlineStr">
        <is>
          <t>←</t>
        </is>
      </c>
      <c r="U8" s="857" t="inlineStr">
        <is>
          <t>【塾】{志望校}過去問</t>
        </is>
      </c>
      <c r="V8" s="857" t="inlineStr">
        <is>
          <t>←</t>
        </is>
      </c>
    </row>
    <row r="9">
      <c r="A9" s="857" t="inlineStr">
        <is>
          <t>国立文系|英語|標準|家</t>
        </is>
      </c>
      <c r="B9" s="857" t="inlineStr">
        <is>
          <t>国立文系</t>
        </is>
      </c>
      <c r="C9" s="857" t="inlineStr">
        <is>
          <t>英語</t>
        </is>
      </c>
      <c r="D9" s="857" t="inlineStr">
        <is>
          <t>標準</t>
        </is>
      </c>
      <c r="E9" s="857" t="inlineStr">
        <is>
          <t>家</t>
        </is>
      </c>
      <c r="F9" s="857" t="inlineStr">
        <is>
          <t>【家】ターゲット1900（毎週テスト）</t>
        </is>
      </c>
      <c r="G9" s="857" t="inlineStr">
        <is>
          <t>←</t>
        </is>
      </c>
      <c r="H9" s="857" t="inlineStr">
        <is>
          <t>←</t>
        </is>
      </c>
      <c r="I9" s="857" t="inlineStr">
        <is>
          <t>←</t>
        </is>
      </c>
      <c r="J9" s="857" t="inlineStr">
        <is>
          <t>【家】ターゲット1900＋解体英熟語</t>
        </is>
      </c>
      <c r="K9" s="857" t="inlineStr">
        <is>
          <t>←</t>
        </is>
      </c>
      <c r="L9" s="857" t="inlineStr">
        <is>
          <t>←</t>
        </is>
      </c>
      <c r="M9" s="857" t="inlineStr">
        <is>
          <t>←</t>
        </is>
      </c>
      <c r="N9" s="857" t="inlineStr">
        <is>
          <t>←</t>
        </is>
      </c>
      <c r="O9" s="857" t="inlineStr">
        <is>
          <t>←</t>
        </is>
      </c>
      <c r="P9" s="857" t="inlineStr">
        <is>
          <t>←</t>
        </is>
      </c>
      <c r="Q9" s="857" t="inlineStr">
        <is>
          <t>【家】ターゲット1900仕上げ＋共通テスト過去問</t>
        </is>
      </c>
      <c r="R9" s="857" t="inlineStr">
        <is>
          <t>←</t>
        </is>
      </c>
      <c r="S9" s="857" t="inlineStr">
        <is>
          <t>←</t>
        </is>
      </c>
      <c r="T9" s="857" t="inlineStr">
        <is>
          <t>←</t>
        </is>
      </c>
      <c r="U9" s="857" t="inlineStr">
        <is>
          <t>【家】{志望校}過去問</t>
        </is>
      </c>
      <c r="V9" s="857" t="inlineStr">
        <is>
          <t>←</t>
        </is>
      </c>
    </row>
    <row r="10">
      <c r="A10" s="856" t="inlineStr">
        <is>
          <t>国立文系|英語|難関|講座</t>
        </is>
      </c>
      <c r="B10" s="856" t="inlineStr">
        <is>
          <t>国立文系</t>
        </is>
      </c>
      <c r="C10" s="856" t="inlineStr">
        <is>
          <t>英語</t>
        </is>
      </c>
      <c r="D10" s="856" t="inlineStr">
        <is>
          <t>難関</t>
        </is>
      </c>
      <c r="E10" s="856" t="inlineStr">
        <is>
          <t>講座</t>
        </is>
      </c>
      <c r="F10" s="856" t="n"/>
      <c r="G10" s="856" t="inlineStr">
        <is>
          <t>G3EK　難関国公立大英語</t>
        </is>
      </c>
      <c r="H10" s="856" t="inlineStr">
        <is>
          <t>←</t>
        </is>
      </c>
      <c r="I10" s="856" t="inlineStr">
        <is>
          <t>←</t>
        </is>
      </c>
      <c r="J10" s="856" t="inlineStr">
        <is>
          <t>←</t>
        </is>
      </c>
      <c r="K10" s="856" t="inlineStr">
        <is>
          <t>←</t>
        </is>
      </c>
      <c r="L10" s="856" t="inlineStr">
        <is>
          <t>←</t>
        </is>
      </c>
      <c r="M10" s="856" t="inlineStr">
        <is>
          <t>←</t>
        </is>
      </c>
      <c r="N10" s="856" t="inlineStr">
        <is>
          <t>←</t>
        </is>
      </c>
      <c r="O10" s="856" t="inlineStr">
        <is>
          <t>NG3EK</t>
        </is>
      </c>
      <c r="P10" s="856" t="inlineStr">
        <is>
          <t>←</t>
        </is>
      </c>
      <c r="Q10" s="856" t="inlineStr">
        <is>
          <t>G3EK　難関国公立大英語</t>
        </is>
      </c>
      <c r="R10" s="856" t="inlineStr">
        <is>
          <t>←</t>
        </is>
      </c>
      <c r="S10" s="856" t="inlineStr">
        <is>
          <t>←</t>
        </is>
      </c>
      <c r="T10" s="856" t="inlineStr">
        <is>
          <t>←</t>
        </is>
      </c>
      <c r="U10" s="856" t="inlineStr">
        <is>
          <t>FG3EK</t>
        </is>
      </c>
      <c r="V10" s="856" t="inlineStr">
        <is>
          <t>←</t>
        </is>
      </c>
    </row>
    <row r="11">
      <c r="A11" s="857" t="inlineStr">
        <is>
          <t>国立文系|英語|難関|回</t>
        </is>
      </c>
      <c r="B11" s="857" t="inlineStr">
        <is>
          <t>国立文系</t>
        </is>
      </c>
      <c r="C11" s="857" t="inlineStr">
        <is>
          <t>英語</t>
        </is>
      </c>
      <c r="D11" s="857" t="inlineStr">
        <is>
          <t>難関</t>
        </is>
      </c>
      <c r="E11" s="857" t="inlineStr">
        <is>
          <t>回</t>
        </is>
      </c>
      <c r="F11" s="857" t="n"/>
      <c r="G11" s="857" t="inlineStr">
        <is>
          <t>練成1</t>
        </is>
      </c>
      <c r="H11" s="857" t="inlineStr">
        <is>
          <t>練成2</t>
        </is>
      </c>
      <c r="I11" s="857" t="inlineStr">
        <is>
          <t>練成3</t>
        </is>
      </c>
      <c r="J11" s="857" t="inlineStr">
        <is>
          <t>練成4</t>
        </is>
      </c>
      <c r="K11" s="857" t="inlineStr">
        <is>
          <t>練成5</t>
        </is>
      </c>
      <c r="L11" s="857" t="inlineStr">
        <is>
          <t>練成6</t>
        </is>
      </c>
      <c r="M11" s="857" t="inlineStr">
        <is>
          <t>練成7</t>
        </is>
      </c>
      <c r="N11" s="857" t="inlineStr">
        <is>
          <t>練成8</t>
        </is>
      </c>
      <c r="O11" s="857" t="inlineStr">
        <is>
          <t>夏期1</t>
        </is>
      </c>
      <c r="P11" s="857" t="inlineStr">
        <is>
          <t>※</t>
        </is>
      </c>
      <c r="Q11" s="857" t="inlineStr">
        <is>
          <t>実戦1</t>
        </is>
      </c>
      <c r="R11" s="857" t="inlineStr">
        <is>
          <t>実戦2</t>
        </is>
      </c>
      <c r="S11" s="857" t="inlineStr">
        <is>
          <t>実戦3</t>
        </is>
      </c>
      <c r="T11" s="857" t="inlineStr">
        <is>
          <t>実戦4</t>
        </is>
      </c>
      <c r="U11" s="857" t="inlineStr">
        <is>
          <t>直前1</t>
        </is>
      </c>
      <c r="V11" s="857" t="inlineStr">
        <is>
          <t>※</t>
        </is>
      </c>
    </row>
    <row r="12">
      <c r="A12" s="857" t="inlineStr">
        <is>
          <t>国立文系|英語|難関|塾</t>
        </is>
      </c>
      <c r="B12" s="857" t="inlineStr">
        <is>
          <t>国立文系</t>
        </is>
      </c>
      <c r="C12" s="857" t="inlineStr">
        <is>
          <t>英語</t>
        </is>
      </c>
      <c r="D12" s="857" t="inlineStr">
        <is>
          <t>難関</t>
        </is>
      </c>
      <c r="E12" s="857" t="inlineStr">
        <is>
          <t>塾</t>
        </is>
      </c>
      <c r="F12" s="857" t="inlineStr">
        <is>
          <t>【塾】英文法・語法 Vintage</t>
        </is>
      </c>
      <c r="G12" s="857" t="inlineStr">
        <is>
          <t>←</t>
        </is>
      </c>
      <c r="H12" s="857" t="inlineStr">
        <is>
          <t>←</t>
        </is>
      </c>
      <c r="I12" s="857" t="inlineStr">
        <is>
          <t>←</t>
        </is>
      </c>
      <c r="J12" s="857" t="inlineStr">
        <is>
          <t>【塾】ポレポレ英文読解プロセス50（精読・和訳）</t>
        </is>
      </c>
      <c r="K12" s="857" t="inlineStr">
        <is>
          <t>←</t>
        </is>
      </c>
      <c r="L12" s="857" t="inlineStr">
        <is>
          <t>←</t>
        </is>
      </c>
      <c r="M12" s="857" t="inlineStr">
        <is>
          <t>←</t>
        </is>
      </c>
      <c r="N12" s="857" t="inlineStr">
        <is>
          <t>←</t>
        </is>
      </c>
      <c r="O12" s="857" t="inlineStr">
        <is>
          <t>←</t>
        </is>
      </c>
      <c r="P12" s="857" t="inlineStr">
        <is>
          <t>←</t>
        </is>
      </c>
      <c r="Q12" s="857" t="inlineStr">
        <is>
          <t>【塾】やっておきたい英語長文500（内容説明・要約）</t>
        </is>
      </c>
      <c r="R12" s="857" t="inlineStr">
        <is>
          <t>←</t>
        </is>
      </c>
      <c r="S12" s="857" t="inlineStr">
        <is>
          <t>←</t>
        </is>
      </c>
      <c r="T12" s="857" t="inlineStr">
        <is>
          <t>←</t>
        </is>
      </c>
      <c r="U12" s="857" t="inlineStr">
        <is>
          <t>【塾】{志望校}過去問</t>
        </is>
      </c>
      <c r="V12" s="857" t="inlineStr">
        <is>
          <t>←</t>
        </is>
      </c>
    </row>
    <row r="13">
      <c r="A13" s="857" t="inlineStr">
        <is>
          <t>国立文系|英語|難関|家</t>
        </is>
      </c>
      <c r="B13" s="857" t="inlineStr">
        <is>
          <t>国立文系</t>
        </is>
      </c>
      <c r="C13" s="857" t="inlineStr">
        <is>
          <t>英語</t>
        </is>
      </c>
      <c r="D13" s="857" t="inlineStr">
        <is>
          <t>難関</t>
        </is>
      </c>
      <c r="E13" s="857" t="inlineStr">
        <is>
          <t>家</t>
        </is>
      </c>
      <c r="F13" s="857" t="inlineStr">
        <is>
          <t>【家】ターゲット1900（毎週テスト）</t>
        </is>
      </c>
      <c r="G13" s="857" t="inlineStr">
        <is>
          <t>←</t>
        </is>
      </c>
      <c r="H13" s="857" t="inlineStr">
        <is>
          <t>←</t>
        </is>
      </c>
      <c r="I13" s="857" t="inlineStr">
        <is>
          <t>←</t>
        </is>
      </c>
      <c r="J13" s="857" t="inlineStr">
        <is>
          <t>【家】ターゲット1900＋ドラゴン・イングリッシュ基本英文100</t>
        </is>
      </c>
      <c r="K13" s="857" t="inlineStr">
        <is>
          <t>←</t>
        </is>
      </c>
      <c r="L13" s="857" t="inlineStr">
        <is>
          <t>←</t>
        </is>
      </c>
      <c r="M13" s="857" t="inlineStr">
        <is>
          <t>←</t>
        </is>
      </c>
      <c r="N13" s="857" t="inlineStr">
        <is>
          <t>←</t>
        </is>
      </c>
      <c r="O13" s="857" t="inlineStr">
        <is>
          <t>←</t>
        </is>
      </c>
      <c r="P13" s="857" t="inlineStr">
        <is>
          <t>←</t>
        </is>
      </c>
      <c r="Q13" s="857" t="inlineStr">
        <is>
          <t>【家】ターゲット1900仕上げ＋共通テスト過去問</t>
        </is>
      </c>
      <c r="R13" s="857" t="inlineStr">
        <is>
          <t>←</t>
        </is>
      </c>
      <c r="S13" s="857" t="inlineStr">
        <is>
          <t>←</t>
        </is>
      </c>
      <c r="T13" s="857" t="inlineStr">
        <is>
          <t>←</t>
        </is>
      </c>
      <c r="U13" s="857" t="inlineStr">
        <is>
          <t>【家】{志望校}過去問</t>
        </is>
      </c>
      <c r="V13" s="857" t="inlineStr">
        <is>
          <t>←</t>
        </is>
      </c>
    </row>
    <row r="14">
      <c r="A14" s="856" t="inlineStr">
        <is>
          <t>国立文系|数学|基礎|講座</t>
        </is>
      </c>
      <c r="B14" s="856" t="inlineStr">
        <is>
          <t>国立文系</t>
        </is>
      </c>
      <c r="C14" s="856" t="inlineStr">
        <is>
          <t>数学</t>
        </is>
      </c>
      <c r="D14" s="856" t="inlineStr">
        <is>
          <t>基礎</t>
        </is>
      </c>
      <c r="E14" s="856" t="inlineStr">
        <is>
          <t>講座</t>
        </is>
      </c>
      <c r="F14" s="856" t="n"/>
      <c r="G14" s="856" t="inlineStr">
        <is>
          <t>基礎数学ⅠA・ⅡB・C</t>
        </is>
      </c>
      <c r="H14" s="856" t="inlineStr">
        <is>
          <t>←</t>
        </is>
      </c>
      <c r="I14" s="856" t="inlineStr">
        <is>
          <t>←</t>
        </is>
      </c>
      <c r="J14" s="856" t="inlineStr">
        <is>
          <t>←</t>
        </is>
      </c>
      <c r="K14" s="856" t="inlineStr">
        <is>
          <t>←</t>
        </is>
      </c>
      <c r="L14" s="856" t="inlineStr">
        <is>
          <t>←</t>
        </is>
      </c>
      <c r="M14" s="856" t="inlineStr">
        <is>
          <t>←</t>
        </is>
      </c>
      <c r="N14" s="856" t="inlineStr">
        <is>
          <t>←</t>
        </is>
      </c>
      <c r="O14" s="856" t="inlineStr">
        <is>
          <t>夏期講習</t>
        </is>
      </c>
      <c r="P14" s="856" t="inlineStr">
        <is>
          <t>←</t>
        </is>
      </c>
      <c r="Q14" s="856" t="inlineStr">
        <is>
          <t>基礎数学ⅠA・ⅡB・C</t>
        </is>
      </c>
      <c r="R14" s="856" t="inlineStr">
        <is>
          <t>←</t>
        </is>
      </c>
      <c r="S14" s="856" t="inlineStr">
        <is>
          <t>←</t>
        </is>
      </c>
      <c r="T14" s="856" t="inlineStr">
        <is>
          <t>←</t>
        </is>
      </c>
      <c r="U14" s="856" t="inlineStr">
        <is>
          <t>直前講習</t>
        </is>
      </c>
      <c r="V14" s="856" t="inlineStr">
        <is>
          <t>←</t>
        </is>
      </c>
    </row>
    <row r="15">
      <c r="A15" s="857" t="inlineStr">
        <is>
          <t>国立文系|数学|基礎|回</t>
        </is>
      </c>
      <c r="B15" s="857" t="inlineStr">
        <is>
          <t>国立文系</t>
        </is>
      </c>
      <c r="C15" s="857" t="inlineStr">
        <is>
          <t>数学</t>
        </is>
      </c>
      <c r="D15" s="857" t="inlineStr">
        <is>
          <t>基礎</t>
        </is>
      </c>
      <c r="E15" s="857" t="inlineStr">
        <is>
          <t>回</t>
        </is>
      </c>
      <c r="F15" s="857" t="n"/>
      <c r="G15" s="857" t="inlineStr">
        <is>
          <t>練成1</t>
        </is>
      </c>
      <c r="H15" s="857" t="inlineStr">
        <is>
          <t>練成2</t>
        </is>
      </c>
      <c r="I15" s="857" t="inlineStr">
        <is>
          <t>練成3</t>
        </is>
      </c>
      <c r="J15" s="857" t="inlineStr">
        <is>
          <t>練成4</t>
        </is>
      </c>
      <c r="K15" s="857" t="inlineStr">
        <is>
          <t>練成5</t>
        </is>
      </c>
      <c r="L15" s="857" t="inlineStr">
        <is>
          <t>練成6</t>
        </is>
      </c>
      <c r="M15" s="857" t="inlineStr">
        <is>
          <t>練成7</t>
        </is>
      </c>
      <c r="N15" s="857" t="inlineStr">
        <is>
          <t>練成8</t>
        </is>
      </c>
      <c r="O15" s="857" t="inlineStr">
        <is>
          <t>夏期1</t>
        </is>
      </c>
      <c r="P15" s="857" t="inlineStr">
        <is>
          <t>夏期2</t>
        </is>
      </c>
      <c r="Q15" s="857" t="inlineStr">
        <is>
          <t>実戦1</t>
        </is>
      </c>
      <c r="R15" s="857" t="inlineStr">
        <is>
          <t>実戦2</t>
        </is>
      </c>
      <c r="S15" s="857" t="inlineStr">
        <is>
          <t>実戦3</t>
        </is>
      </c>
      <c r="T15" s="857" t="inlineStr">
        <is>
          <t>実戦4</t>
        </is>
      </c>
      <c r="U15" s="857" t="inlineStr">
        <is>
          <t>直前1</t>
        </is>
      </c>
      <c r="V15" s="857" t="inlineStr">
        <is>
          <t>※</t>
        </is>
      </c>
    </row>
    <row r="16">
      <c r="A16" s="857" t="inlineStr">
        <is>
          <t>国立文系|数学|基礎|塾</t>
        </is>
      </c>
      <c r="B16" s="857" t="inlineStr">
        <is>
          <t>国立文系</t>
        </is>
      </c>
      <c r="C16" s="857" t="inlineStr">
        <is>
          <t>数学</t>
        </is>
      </c>
      <c r="D16" s="857" t="inlineStr">
        <is>
          <t>基礎</t>
        </is>
      </c>
      <c r="E16" s="857" t="inlineStr">
        <is>
          <t>塾</t>
        </is>
      </c>
      <c r="F16" s="857" t="inlineStr">
        <is>
          <t>【塾】白チャート ⅠA・ⅡBC（例題中心）</t>
        </is>
      </c>
      <c r="G16" s="857" t="inlineStr">
        <is>
          <t>←</t>
        </is>
      </c>
      <c r="H16" s="857" t="inlineStr">
        <is>
          <t>←</t>
        </is>
      </c>
      <c r="I16" s="857" t="inlineStr">
        <is>
          <t>←</t>
        </is>
      </c>
      <c r="J16" s="857" t="inlineStr">
        <is>
          <t>←</t>
        </is>
      </c>
      <c r="K16" s="857" t="inlineStr">
        <is>
          <t>←</t>
        </is>
      </c>
      <c r="L16" s="857" t="inlineStr">
        <is>
          <t>←</t>
        </is>
      </c>
      <c r="M16" s="857" t="inlineStr">
        <is>
          <t>←</t>
        </is>
      </c>
      <c r="N16" s="857" t="inlineStr">
        <is>
          <t>←</t>
        </is>
      </c>
      <c r="O16" s="857" t="inlineStr">
        <is>
          <t>←</t>
        </is>
      </c>
      <c r="P16" s="857" t="inlineStr">
        <is>
          <t>←</t>
        </is>
      </c>
      <c r="Q16" s="857" t="inlineStr">
        <is>
          <t>【塾】黄チャート（重要例題）＋共通テスト対策</t>
        </is>
      </c>
      <c r="R16" s="857" t="inlineStr">
        <is>
          <t>←</t>
        </is>
      </c>
      <c r="S16" s="857" t="inlineStr">
        <is>
          <t>←</t>
        </is>
      </c>
      <c r="T16" s="857" t="inlineStr">
        <is>
          <t>←</t>
        </is>
      </c>
      <c r="U16" s="857" t="inlineStr">
        <is>
          <t>【塾】{志望校}過去問</t>
        </is>
      </c>
      <c r="V16" s="857" t="inlineStr">
        <is>
          <t>←</t>
        </is>
      </c>
    </row>
    <row r="17">
      <c r="A17" s="857" t="inlineStr">
        <is>
          <t>国立文系|数学|基礎|家</t>
        </is>
      </c>
      <c r="B17" s="857" t="inlineStr">
        <is>
          <t>国立文系</t>
        </is>
      </c>
      <c r="C17" s="857" t="inlineStr">
        <is>
          <t>数学</t>
        </is>
      </c>
      <c r="D17" s="857" t="inlineStr">
        <is>
          <t>基礎</t>
        </is>
      </c>
      <c r="E17" s="857" t="inlineStr">
        <is>
          <t>家</t>
        </is>
      </c>
      <c r="F17" s="857" t="inlineStr">
        <is>
          <t>【家】白チャートの例題反復（1冊5周）</t>
        </is>
      </c>
      <c r="G17" s="857" t="inlineStr">
        <is>
          <t>←</t>
        </is>
      </c>
      <c r="H17" s="857" t="inlineStr">
        <is>
          <t>←</t>
        </is>
      </c>
      <c r="I17" s="857" t="inlineStr">
        <is>
          <t>←</t>
        </is>
      </c>
      <c r="J17" s="857" t="inlineStr">
        <is>
          <t>←</t>
        </is>
      </c>
      <c r="K17" s="857" t="inlineStr">
        <is>
          <t>←</t>
        </is>
      </c>
      <c r="L17" s="857" t="inlineStr">
        <is>
          <t>←</t>
        </is>
      </c>
      <c r="M17" s="857" t="inlineStr">
        <is>
          <t>←</t>
        </is>
      </c>
      <c r="N17" s="857" t="inlineStr">
        <is>
          <t>←</t>
        </is>
      </c>
      <c r="O17" s="857" t="inlineStr">
        <is>
          <t>←</t>
        </is>
      </c>
      <c r="P17" s="857" t="inlineStr">
        <is>
          <t>←</t>
        </is>
      </c>
      <c r="Q17" s="857" t="inlineStr">
        <is>
          <t>【家】共通テスト過去問（数学）</t>
        </is>
      </c>
      <c r="R17" s="857" t="inlineStr">
        <is>
          <t>←</t>
        </is>
      </c>
      <c r="S17" s="857" t="inlineStr">
        <is>
          <t>←</t>
        </is>
      </c>
      <c r="T17" s="857" t="inlineStr">
        <is>
          <t>←</t>
        </is>
      </c>
      <c r="U17" s="857" t="inlineStr">
        <is>
          <t>【家】{志望校}過去問</t>
        </is>
      </c>
      <c r="V17" s="857" t="inlineStr">
        <is>
          <t>←</t>
        </is>
      </c>
    </row>
    <row r="18">
      <c r="A18" s="856" t="inlineStr">
        <is>
          <t>国立文系|数学|標準|講座</t>
        </is>
      </c>
      <c r="B18" s="856" t="inlineStr">
        <is>
          <t>国立文系</t>
        </is>
      </c>
      <c r="C18" s="856" t="inlineStr">
        <is>
          <t>数学</t>
        </is>
      </c>
      <c r="D18" s="856" t="inlineStr">
        <is>
          <t>標準</t>
        </is>
      </c>
      <c r="E18" s="856" t="inlineStr">
        <is>
          <t>講座</t>
        </is>
      </c>
      <c r="F18" s="856" t="n"/>
      <c r="G18" s="856" t="inlineStr">
        <is>
          <t>標準数学ⅠA・ⅡB・C</t>
        </is>
      </c>
      <c r="H18" s="856" t="inlineStr">
        <is>
          <t>←</t>
        </is>
      </c>
      <c r="I18" s="856" t="inlineStr">
        <is>
          <t>←</t>
        </is>
      </c>
      <c r="J18" s="856" t="inlineStr">
        <is>
          <t>←</t>
        </is>
      </c>
      <c r="K18" s="856" t="inlineStr">
        <is>
          <t>←</t>
        </is>
      </c>
      <c r="L18" s="856" t="inlineStr">
        <is>
          <t>←</t>
        </is>
      </c>
      <c r="M18" s="856" t="inlineStr">
        <is>
          <t>←</t>
        </is>
      </c>
      <c r="N18" s="856" t="inlineStr">
        <is>
          <t>←</t>
        </is>
      </c>
      <c r="O18" s="856" t="inlineStr">
        <is>
          <t>夏期講習</t>
        </is>
      </c>
      <c r="P18" s="856" t="inlineStr">
        <is>
          <t>←</t>
        </is>
      </c>
      <c r="Q18" s="856" t="inlineStr">
        <is>
          <t>標準数学ⅠA・ⅡB・C</t>
        </is>
      </c>
      <c r="R18" s="856" t="inlineStr">
        <is>
          <t>←</t>
        </is>
      </c>
      <c r="S18" s="856" t="inlineStr">
        <is>
          <t>←</t>
        </is>
      </c>
      <c r="T18" s="856" t="inlineStr">
        <is>
          <t>←</t>
        </is>
      </c>
      <c r="U18" s="856" t="inlineStr">
        <is>
          <t>直前講習</t>
        </is>
      </c>
      <c r="V18" s="856" t="inlineStr">
        <is>
          <t>←</t>
        </is>
      </c>
    </row>
    <row r="19">
      <c r="A19" s="857" t="inlineStr">
        <is>
          <t>国立文系|数学|標準|回</t>
        </is>
      </c>
      <c r="B19" s="857" t="inlineStr">
        <is>
          <t>国立文系</t>
        </is>
      </c>
      <c r="C19" s="857" t="inlineStr">
        <is>
          <t>数学</t>
        </is>
      </c>
      <c r="D19" s="857" t="inlineStr">
        <is>
          <t>標準</t>
        </is>
      </c>
      <c r="E19" s="857" t="inlineStr">
        <is>
          <t>回</t>
        </is>
      </c>
      <c r="F19" s="857" t="n"/>
      <c r="G19" s="857" t="inlineStr">
        <is>
          <t>練成1</t>
        </is>
      </c>
      <c r="H19" s="857" t="inlineStr">
        <is>
          <t>練成2</t>
        </is>
      </c>
      <c r="I19" s="857" t="inlineStr">
        <is>
          <t>練成3</t>
        </is>
      </c>
      <c r="J19" s="857" t="inlineStr">
        <is>
          <t>練成4</t>
        </is>
      </c>
      <c r="K19" s="857" t="inlineStr">
        <is>
          <t>練成5</t>
        </is>
      </c>
      <c r="L19" s="857" t="inlineStr">
        <is>
          <t>練成6</t>
        </is>
      </c>
      <c r="M19" s="857" t="inlineStr">
        <is>
          <t>練成7</t>
        </is>
      </c>
      <c r="N19" s="857" t="inlineStr">
        <is>
          <t>練成8</t>
        </is>
      </c>
      <c r="O19" s="857" t="inlineStr">
        <is>
          <t>夏期1</t>
        </is>
      </c>
      <c r="P19" s="857" t="inlineStr">
        <is>
          <t>夏期2</t>
        </is>
      </c>
      <c r="Q19" s="857" t="inlineStr">
        <is>
          <t>実戦1</t>
        </is>
      </c>
      <c r="R19" s="857" t="inlineStr">
        <is>
          <t>実戦2</t>
        </is>
      </c>
      <c r="S19" s="857" t="inlineStr">
        <is>
          <t>実戦3</t>
        </is>
      </c>
      <c r="T19" s="857" t="inlineStr">
        <is>
          <t>実戦4</t>
        </is>
      </c>
      <c r="U19" s="857" t="inlineStr">
        <is>
          <t>直前1</t>
        </is>
      </c>
      <c r="V19" s="857" t="inlineStr">
        <is>
          <t>※</t>
        </is>
      </c>
    </row>
    <row r="20">
      <c r="A20" s="857" t="inlineStr">
        <is>
          <t>国立文系|数学|標準|塾</t>
        </is>
      </c>
      <c r="B20" s="857" t="inlineStr">
        <is>
          <t>国立文系</t>
        </is>
      </c>
      <c r="C20" s="857" t="inlineStr">
        <is>
          <t>数学</t>
        </is>
      </c>
      <c r="D20" s="857" t="inlineStr">
        <is>
          <t>標準</t>
        </is>
      </c>
      <c r="E20" s="857" t="inlineStr">
        <is>
          <t>塾</t>
        </is>
      </c>
      <c r="F20" s="857" t="inlineStr">
        <is>
          <t>【塾】黄チャート ⅠA・ⅡBC（重要例題）</t>
        </is>
      </c>
      <c r="G20" s="857" t="inlineStr">
        <is>
          <t>←</t>
        </is>
      </c>
      <c r="H20" s="857" t="inlineStr">
        <is>
          <t>←</t>
        </is>
      </c>
      <c r="I20" s="857" t="inlineStr">
        <is>
          <t>←</t>
        </is>
      </c>
      <c r="J20" s="857" t="inlineStr">
        <is>
          <t>←</t>
        </is>
      </c>
      <c r="K20" s="857" t="inlineStr">
        <is>
          <t>←</t>
        </is>
      </c>
      <c r="L20" s="857" t="inlineStr">
        <is>
          <t>←</t>
        </is>
      </c>
      <c r="M20" s="857" t="inlineStr">
        <is>
          <t>←</t>
        </is>
      </c>
      <c r="N20" s="857" t="inlineStr">
        <is>
          <t>←</t>
        </is>
      </c>
      <c r="O20" s="857" t="inlineStr">
        <is>
          <t>←</t>
        </is>
      </c>
      <c r="P20" s="857" t="inlineStr">
        <is>
          <t>←</t>
        </is>
      </c>
      <c r="Q20" s="857" t="inlineStr">
        <is>
          <t>【塾】文系数学 入試の核心 標準編</t>
        </is>
      </c>
      <c r="R20" s="857" t="inlineStr">
        <is>
          <t>←</t>
        </is>
      </c>
      <c r="S20" s="857" t="inlineStr">
        <is>
          <t>←</t>
        </is>
      </c>
      <c r="T20" s="857" t="inlineStr">
        <is>
          <t>←</t>
        </is>
      </c>
      <c r="U20" s="857" t="inlineStr">
        <is>
          <t>【塾】{志望校}過去問</t>
        </is>
      </c>
      <c r="V20" s="857" t="inlineStr">
        <is>
          <t>←</t>
        </is>
      </c>
    </row>
    <row r="21">
      <c r="A21" s="857" t="inlineStr">
        <is>
          <t>国立文系|数学|標準|家</t>
        </is>
      </c>
      <c r="B21" s="857" t="inlineStr">
        <is>
          <t>国立文系</t>
        </is>
      </c>
      <c r="C21" s="857" t="inlineStr">
        <is>
          <t>数学</t>
        </is>
      </c>
      <c r="D21" s="857" t="inlineStr">
        <is>
          <t>標準</t>
        </is>
      </c>
      <c r="E21" s="857" t="inlineStr">
        <is>
          <t>家</t>
        </is>
      </c>
      <c r="F21" s="857" t="inlineStr">
        <is>
          <t>【家】入試数学の基礎問題精講 ⅠA・ⅡBC（1冊10周）</t>
        </is>
      </c>
      <c r="G21" s="857" t="inlineStr">
        <is>
          <t>←</t>
        </is>
      </c>
      <c r="H21" s="857" t="inlineStr">
        <is>
          <t>←</t>
        </is>
      </c>
      <c r="I21" s="857" t="inlineStr">
        <is>
          <t>←</t>
        </is>
      </c>
      <c r="J21" s="857" t="inlineStr">
        <is>
          <t>←</t>
        </is>
      </c>
      <c r="K21" s="857" t="inlineStr">
        <is>
          <t>←</t>
        </is>
      </c>
      <c r="L21" s="857" t="inlineStr">
        <is>
          <t>←</t>
        </is>
      </c>
      <c r="M21" s="857" t="inlineStr">
        <is>
          <t>←</t>
        </is>
      </c>
      <c r="N21" s="857" t="inlineStr">
        <is>
          <t>←</t>
        </is>
      </c>
      <c r="O21" s="857" t="inlineStr">
        <is>
          <t>←</t>
        </is>
      </c>
      <c r="P21" s="857" t="inlineStr">
        <is>
          <t>←</t>
        </is>
      </c>
      <c r="Q21" s="857" t="inlineStr">
        <is>
          <t>【家】基礎問題精講の反復＋共通テスト過去問</t>
        </is>
      </c>
      <c r="R21" s="857" t="inlineStr">
        <is>
          <t>←</t>
        </is>
      </c>
      <c r="S21" s="857" t="inlineStr">
        <is>
          <t>←</t>
        </is>
      </c>
      <c r="T21" s="857" t="inlineStr">
        <is>
          <t>←</t>
        </is>
      </c>
      <c r="U21" s="857" t="inlineStr">
        <is>
          <t>【家】{志望校}過去問</t>
        </is>
      </c>
      <c r="V21" s="857" t="inlineStr">
        <is>
          <t>←</t>
        </is>
      </c>
    </row>
    <row r="22">
      <c r="A22" s="856" t="inlineStr">
        <is>
          <t>国立文系|数学|難関|講座</t>
        </is>
      </c>
      <c r="B22" s="856" t="inlineStr">
        <is>
          <t>国立文系</t>
        </is>
      </c>
      <c r="C22" s="856" t="inlineStr">
        <is>
          <t>数学</t>
        </is>
      </c>
      <c r="D22" s="856" t="inlineStr">
        <is>
          <t>難関</t>
        </is>
      </c>
      <c r="E22" s="856" t="inlineStr">
        <is>
          <t>講座</t>
        </is>
      </c>
      <c r="F22" s="856" t="n"/>
      <c r="G22" s="856" t="inlineStr">
        <is>
          <t>3NN　難関大数学ⅠA・ⅡB・C</t>
        </is>
      </c>
      <c r="H22" s="856" t="inlineStr">
        <is>
          <t>←</t>
        </is>
      </c>
      <c r="I22" s="856" t="inlineStr">
        <is>
          <t>←</t>
        </is>
      </c>
      <c r="J22" s="856" t="inlineStr">
        <is>
          <t>←</t>
        </is>
      </c>
      <c r="K22" s="856" t="inlineStr">
        <is>
          <t>←</t>
        </is>
      </c>
      <c r="L22" s="856" t="inlineStr">
        <is>
          <t>←</t>
        </is>
      </c>
      <c r="M22" s="856" t="inlineStr">
        <is>
          <t>←</t>
        </is>
      </c>
      <c r="N22" s="856" t="inlineStr">
        <is>
          <t>←</t>
        </is>
      </c>
      <c r="O22" s="856" t="inlineStr">
        <is>
          <t>N3NN</t>
        </is>
      </c>
      <c r="P22" s="856" t="inlineStr">
        <is>
          <t>←</t>
        </is>
      </c>
      <c r="Q22" s="856" t="inlineStr">
        <is>
          <t>3NN　難関大数学ⅠA・ⅡB・C</t>
        </is>
      </c>
      <c r="R22" s="856" t="inlineStr">
        <is>
          <t>←</t>
        </is>
      </c>
      <c r="S22" s="856" t="inlineStr">
        <is>
          <t>←</t>
        </is>
      </c>
      <c r="T22" s="856" t="inlineStr">
        <is>
          <t>←</t>
        </is>
      </c>
      <c r="U22" s="856" t="inlineStr">
        <is>
          <t>F3NN</t>
        </is>
      </c>
      <c r="V22" s="856" t="inlineStr">
        <is>
          <t>←</t>
        </is>
      </c>
    </row>
    <row r="23">
      <c r="A23" s="857" t="inlineStr">
        <is>
          <t>国立文系|数学|難関|回</t>
        </is>
      </c>
      <c r="B23" s="857" t="inlineStr">
        <is>
          <t>国立文系</t>
        </is>
      </c>
      <c r="C23" s="857" t="inlineStr">
        <is>
          <t>数学</t>
        </is>
      </c>
      <c r="D23" s="857" t="inlineStr">
        <is>
          <t>難関</t>
        </is>
      </c>
      <c r="E23" s="857" t="inlineStr">
        <is>
          <t>回</t>
        </is>
      </c>
      <c r="F23" s="857" t="n"/>
      <c r="G23" s="857" t="inlineStr">
        <is>
          <t>練成1</t>
        </is>
      </c>
      <c r="H23" s="857" t="inlineStr">
        <is>
          <t>練成2</t>
        </is>
      </c>
      <c r="I23" s="857" t="inlineStr">
        <is>
          <t>練成3・4</t>
        </is>
      </c>
      <c r="J23" s="857" t="inlineStr">
        <is>
          <t>練成5</t>
        </is>
      </c>
      <c r="K23" s="857" t="inlineStr">
        <is>
          <t>練成6</t>
        </is>
      </c>
      <c r="L23" s="857" t="inlineStr">
        <is>
          <t>練成7</t>
        </is>
      </c>
      <c r="M23" s="857" t="inlineStr">
        <is>
          <t>練成8</t>
        </is>
      </c>
      <c r="N23" s="857" t="inlineStr">
        <is>
          <t>練成9・10</t>
        </is>
      </c>
      <c r="O23" s="857" t="inlineStr">
        <is>
          <t>夏期1</t>
        </is>
      </c>
      <c r="P23" s="857" t="inlineStr">
        <is>
          <t>夏期2</t>
        </is>
      </c>
      <c r="Q23" s="857" t="inlineStr">
        <is>
          <t>実戦1</t>
        </is>
      </c>
      <c r="R23" s="857" t="inlineStr">
        <is>
          <t>実戦2</t>
        </is>
      </c>
      <c r="S23" s="857" t="inlineStr">
        <is>
          <t>実戦3</t>
        </is>
      </c>
      <c r="T23" s="857" t="inlineStr">
        <is>
          <t>実戦4</t>
        </is>
      </c>
      <c r="U23" s="857" t="inlineStr">
        <is>
          <t>直前1</t>
        </is>
      </c>
      <c r="V23" s="857" t="inlineStr">
        <is>
          <t>直前2</t>
        </is>
      </c>
    </row>
    <row r="24">
      <c r="A24" s="857" t="inlineStr">
        <is>
          <t>国立文系|数学|難関|塾</t>
        </is>
      </c>
      <c r="B24" s="857" t="inlineStr">
        <is>
          <t>国立文系</t>
        </is>
      </c>
      <c r="C24" s="857" t="inlineStr">
        <is>
          <t>数学</t>
        </is>
      </c>
      <c r="D24" s="857" t="inlineStr">
        <is>
          <t>難関</t>
        </is>
      </c>
      <c r="E24" s="857" t="inlineStr">
        <is>
          <t>塾</t>
        </is>
      </c>
      <c r="F24" s="857" t="inlineStr">
        <is>
          <t>【塾】青チャート ⅠA・ⅡBC（例題★3まで）</t>
        </is>
      </c>
      <c r="G24" s="857" t="inlineStr">
        <is>
          <t>←</t>
        </is>
      </c>
      <c r="H24" s="857" t="inlineStr">
        <is>
          <t>←</t>
        </is>
      </c>
      <c r="I24" s="857" t="inlineStr">
        <is>
          <t>←</t>
        </is>
      </c>
      <c r="J24" s="857" t="inlineStr">
        <is>
          <t>←</t>
        </is>
      </c>
      <c r="K24" s="857" t="inlineStr">
        <is>
          <t>←</t>
        </is>
      </c>
      <c r="L24" s="857" t="inlineStr">
        <is>
          <t>←</t>
        </is>
      </c>
      <c r="M24" s="857" t="inlineStr">
        <is>
          <t>←</t>
        </is>
      </c>
      <c r="N24" s="857" t="inlineStr">
        <is>
          <t>←</t>
        </is>
      </c>
      <c r="O24" s="857" t="inlineStr">
        <is>
          <t>【塾】青チャート総復習</t>
        </is>
      </c>
      <c r="P24" s="857" t="inlineStr">
        <is>
          <t>←</t>
        </is>
      </c>
      <c r="Q24" s="857" t="inlineStr">
        <is>
          <t>【塾】文系数学の良問プラチカ</t>
        </is>
      </c>
      <c r="R24" s="857" t="inlineStr">
        <is>
          <t>←</t>
        </is>
      </c>
      <c r="S24" s="857" t="inlineStr">
        <is>
          <t>←</t>
        </is>
      </c>
      <c r="T24" s="857" t="inlineStr">
        <is>
          <t>←</t>
        </is>
      </c>
      <c r="U24" s="857" t="inlineStr">
        <is>
          <t>【塾】{志望校}過去問</t>
        </is>
      </c>
      <c r="V24" s="857" t="inlineStr">
        <is>
          <t>←</t>
        </is>
      </c>
    </row>
    <row r="25">
      <c r="A25" s="857" t="inlineStr">
        <is>
          <t>国立文系|数学|難関|家</t>
        </is>
      </c>
      <c r="B25" s="857" t="inlineStr">
        <is>
          <t>国立文系</t>
        </is>
      </c>
      <c r="C25" s="857" t="inlineStr">
        <is>
          <t>数学</t>
        </is>
      </c>
      <c r="D25" s="857" t="inlineStr">
        <is>
          <t>難関</t>
        </is>
      </c>
      <c r="E25" s="857" t="inlineStr">
        <is>
          <t>家</t>
        </is>
      </c>
      <c r="F25" s="857" t="inlineStr">
        <is>
          <t>【家】入試数学の基礎問題精講 ⅠA・ⅡBC（1冊10周）</t>
        </is>
      </c>
      <c r="G25" s="857" t="inlineStr">
        <is>
          <t>←</t>
        </is>
      </c>
      <c r="H25" s="857" t="inlineStr">
        <is>
          <t>←</t>
        </is>
      </c>
      <c r="I25" s="857" t="inlineStr">
        <is>
          <t>←</t>
        </is>
      </c>
      <c r="J25" s="857" t="inlineStr">
        <is>
          <t>←</t>
        </is>
      </c>
      <c r="K25" s="857" t="inlineStr">
        <is>
          <t>←</t>
        </is>
      </c>
      <c r="L25" s="857" t="inlineStr">
        <is>
          <t>←</t>
        </is>
      </c>
      <c r="M25" s="857" t="inlineStr">
        <is>
          <t>←</t>
        </is>
      </c>
      <c r="N25" s="857" t="inlineStr">
        <is>
          <t>←</t>
        </is>
      </c>
      <c r="O25" s="857" t="inlineStr">
        <is>
          <t>←</t>
        </is>
      </c>
      <c r="P25" s="857" t="inlineStr">
        <is>
          <t>←</t>
        </is>
      </c>
      <c r="Q25" s="857" t="inlineStr">
        <is>
          <t>【家】基礎問題精講の反復＋共通テスト過去問</t>
        </is>
      </c>
      <c r="R25" s="857" t="inlineStr">
        <is>
          <t>←</t>
        </is>
      </c>
      <c r="S25" s="857" t="inlineStr">
        <is>
          <t>←</t>
        </is>
      </c>
      <c r="T25" s="857" t="inlineStr">
        <is>
          <t>←</t>
        </is>
      </c>
      <c r="U25" s="857" t="inlineStr">
        <is>
          <t>【家】{志望校}過去問</t>
        </is>
      </c>
      <c r="V25" s="857" t="inlineStr">
        <is>
          <t>←</t>
        </is>
      </c>
    </row>
    <row r="26">
      <c r="A26" s="856" t="inlineStr">
        <is>
          <t>国立文系|現代文|基礎|講座</t>
        </is>
      </c>
      <c r="B26" s="856" t="inlineStr">
        <is>
          <t>国立文系</t>
        </is>
      </c>
      <c r="C26" s="856" t="inlineStr">
        <is>
          <t>現代文</t>
        </is>
      </c>
      <c r="D26" s="856" t="inlineStr">
        <is>
          <t>基礎</t>
        </is>
      </c>
      <c r="E26" s="856" t="inlineStr">
        <is>
          <t>講座</t>
        </is>
      </c>
      <c r="F26" s="856" t="n"/>
      <c r="G26" s="856" t="inlineStr">
        <is>
          <t>基礎現代文</t>
        </is>
      </c>
      <c r="H26" s="856" t="inlineStr">
        <is>
          <t>←</t>
        </is>
      </c>
      <c r="I26" s="856" t="inlineStr">
        <is>
          <t>←</t>
        </is>
      </c>
      <c r="J26" s="856" t="inlineStr">
        <is>
          <t>←</t>
        </is>
      </c>
      <c r="K26" s="856" t="inlineStr">
        <is>
          <t>←</t>
        </is>
      </c>
      <c r="L26" s="856" t="inlineStr">
        <is>
          <t>←</t>
        </is>
      </c>
      <c r="M26" s="856" t="inlineStr">
        <is>
          <t>←</t>
        </is>
      </c>
      <c r="N26" s="856" t="inlineStr">
        <is>
          <t>←</t>
        </is>
      </c>
      <c r="O26" s="856" t="inlineStr">
        <is>
          <t>夏期講習</t>
        </is>
      </c>
      <c r="P26" s="856" t="inlineStr">
        <is>
          <t>←</t>
        </is>
      </c>
      <c r="Q26" s="856" t="inlineStr">
        <is>
          <t>基礎現代文</t>
        </is>
      </c>
      <c r="R26" s="856" t="inlineStr">
        <is>
          <t>←</t>
        </is>
      </c>
      <c r="S26" s="856" t="inlineStr">
        <is>
          <t>←</t>
        </is>
      </c>
      <c r="T26" s="856" t="inlineStr">
        <is>
          <t>←</t>
        </is>
      </c>
      <c r="U26" s="856" t="inlineStr">
        <is>
          <t>直前講習</t>
        </is>
      </c>
      <c r="V26" s="856" t="inlineStr">
        <is>
          <t>←</t>
        </is>
      </c>
    </row>
    <row r="27">
      <c r="A27" s="857" t="inlineStr">
        <is>
          <t>国立文系|現代文|基礎|回</t>
        </is>
      </c>
      <c r="B27" s="857" t="inlineStr">
        <is>
          <t>国立文系</t>
        </is>
      </c>
      <c r="C27" s="857" t="inlineStr">
        <is>
          <t>現代文</t>
        </is>
      </c>
      <c r="D27" s="857" t="inlineStr">
        <is>
          <t>基礎</t>
        </is>
      </c>
      <c r="E27" s="857" t="inlineStr">
        <is>
          <t>回</t>
        </is>
      </c>
      <c r="F27" s="857" t="n"/>
      <c r="G27" s="857" t="inlineStr">
        <is>
          <t>練成1</t>
        </is>
      </c>
      <c r="H27" s="857" t="inlineStr">
        <is>
          <t>練成2</t>
        </is>
      </c>
      <c r="I27" s="857" t="inlineStr">
        <is>
          <t>※</t>
        </is>
      </c>
      <c r="J27" s="857" t="inlineStr">
        <is>
          <t>※</t>
        </is>
      </c>
      <c r="K27" s="857" t="inlineStr">
        <is>
          <t>※</t>
        </is>
      </c>
      <c r="L27" s="857" t="inlineStr">
        <is>
          <t>※</t>
        </is>
      </c>
      <c r="M27" s="857" t="inlineStr">
        <is>
          <t>※</t>
        </is>
      </c>
      <c r="N27" s="857" t="inlineStr">
        <is>
          <t>※</t>
        </is>
      </c>
      <c r="O27" s="857" t="inlineStr">
        <is>
          <t>夏期1</t>
        </is>
      </c>
      <c r="P27" s="857" t="inlineStr">
        <is>
          <t>※</t>
        </is>
      </c>
      <c r="Q27" s="857" t="inlineStr">
        <is>
          <t>実戦1</t>
        </is>
      </c>
      <c r="R27" s="857" t="inlineStr">
        <is>
          <t>実戦2</t>
        </is>
      </c>
      <c r="S27" s="857" t="inlineStr">
        <is>
          <t>※</t>
        </is>
      </c>
      <c r="T27" s="857" t="inlineStr">
        <is>
          <t>※</t>
        </is>
      </c>
      <c r="U27" s="857" t="inlineStr">
        <is>
          <t>直前1</t>
        </is>
      </c>
      <c r="V27" s="857" t="inlineStr">
        <is>
          <t>※</t>
        </is>
      </c>
    </row>
    <row r="28">
      <c r="A28" s="857" t="inlineStr">
        <is>
          <t>国立文系|現代文|基礎|塾</t>
        </is>
      </c>
      <c r="B28" s="857" t="inlineStr">
        <is>
          <t>国立文系</t>
        </is>
      </c>
      <c r="C28" s="857" t="inlineStr">
        <is>
          <t>現代文</t>
        </is>
      </c>
      <c r="D28" s="857" t="inlineStr">
        <is>
          <t>基礎</t>
        </is>
      </c>
      <c r="E28" s="857" t="inlineStr">
        <is>
          <t>塾</t>
        </is>
      </c>
      <c r="F28" s="857" t="inlineStr">
        <is>
          <t>【塾】高2範囲の総復習・診断</t>
        </is>
      </c>
      <c r="G28" s="857" t="n"/>
      <c r="H28" s="857" t="n"/>
      <c r="I28" s="857" t="n"/>
      <c r="J28" s="857" t="inlineStr">
        <is>
          <t>【塾】入試現代文へのアクセス 基本編</t>
        </is>
      </c>
      <c r="K28" s="857" t="inlineStr">
        <is>
          <t>←</t>
        </is>
      </c>
      <c r="L28" s="857" t="inlineStr">
        <is>
          <t>←</t>
        </is>
      </c>
      <c r="M28" s="857" t="inlineStr">
        <is>
          <t>←</t>
        </is>
      </c>
      <c r="N28" s="857" t="inlineStr">
        <is>
          <t>←</t>
        </is>
      </c>
      <c r="O28" s="857" t="inlineStr">
        <is>
          <t>←</t>
        </is>
      </c>
      <c r="P28" s="857" t="inlineStr">
        <is>
          <t>←</t>
        </is>
      </c>
      <c r="Q28" s="857" t="inlineStr">
        <is>
          <t>【塾】共通テスト現代文 対策問題集</t>
        </is>
      </c>
      <c r="R28" s="857" t="inlineStr">
        <is>
          <t>←</t>
        </is>
      </c>
      <c r="S28" s="857" t="inlineStr">
        <is>
          <t>←</t>
        </is>
      </c>
      <c r="T28" s="857" t="inlineStr">
        <is>
          <t>←</t>
        </is>
      </c>
      <c r="U28" s="857" t="inlineStr">
        <is>
          <t>【塾】{志望校}過去問</t>
        </is>
      </c>
      <c r="V28" s="857" t="inlineStr">
        <is>
          <t>←</t>
        </is>
      </c>
    </row>
    <row r="29">
      <c r="A29" s="857" t="inlineStr">
        <is>
          <t>国立文系|現代文|基礎|家</t>
        </is>
      </c>
      <c r="B29" s="857" t="inlineStr">
        <is>
          <t>国立文系</t>
        </is>
      </c>
      <c r="C29" s="857" t="inlineStr">
        <is>
          <t>現代文</t>
        </is>
      </c>
      <c r="D29" s="857" t="inlineStr">
        <is>
          <t>基礎</t>
        </is>
      </c>
      <c r="E29" s="857" t="inlineStr">
        <is>
          <t>家</t>
        </is>
      </c>
      <c r="F29" s="857" t="inlineStr">
        <is>
          <t>【家】現代文キーワード読解（毎週）</t>
        </is>
      </c>
      <c r="G29" s="857" t="inlineStr">
        <is>
          <t>←</t>
        </is>
      </c>
      <c r="H29" s="857" t="inlineStr">
        <is>
          <t>←</t>
        </is>
      </c>
      <c r="I29" s="857" t="inlineStr">
        <is>
          <t>←</t>
        </is>
      </c>
      <c r="J29" s="857" t="inlineStr">
        <is>
          <t>←</t>
        </is>
      </c>
      <c r="K29" s="857" t="inlineStr">
        <is>
          <t>←</t>
        </is>
      </c>
      <c r="L29" s="857" t="inlineStr">
        <is>
          <t>←</t>
        </is>
      </c>
      <c r="M29" s="857" t="inlineStr">
        <is>
          <t>←</t>
        </is>
      </c>
      <c r="N29" s="857" t="inlineStr">
        <is>
          <t>←</t>
        </is>
      </c>
      <c r="O29" s="857" t="inlineStr">
        <is>
          <t>←</t>
        </is>
      </c>
      <c r="P29" s="857" t="inlineStr">
        <is>
          <t>←</t>
        </is>
      </c>
      <c r="Q29" s="857" t="inlineStr">
        <is>
          <t>【家】共通テスト過去問（現代文）</t>
        </is>
      </c>
      <c r="R29" s="857" t="inlineStr">
        <is>
          <t>←</t>
        </is>
      </c>
      <c r="S29" s="857" t="inlineStr">
        <is>
          <t>←</t>
        </is>
      </c>
      <c r="T29" s="857" t="inlineStr">
        <is>
          <t>←</t>
        </is>
      </c>
      <c r="U29" s="857" t="inlineStr">
        <is>
          <t>【家】{志望校}過去問</t>
        </is>
      </c>
      <c r="V29" s="857" t="inlineStr">
        <is>
          <t>←</t>
        </is>
      </c>
    </row>
    <row r="30">
      <c r="A30" s="856" t="inlineStr">
        <is>
          <t>国立文系|現代文|標準|講座</t>
        </is>
      </c>
      <c r="B30" s="856" t="inlineStr">
        <is>
          <t>国立文系</t>
        </is>
      </c>
      <c r="C30" s="856" t="inlineStr">
        <is>
          <t>現代文</t>
        </is>
      </c>
      <c r="D30" s="856" t="inlineStr">
        <is>
          <t>標準</t>
        </is>
      </c>
      <c r="E30" s="856" t="inlineStr">
        <is>
          <t>講座</t>
        </is>
      </c>
      <c r="F30" s="856" t="n"/>
      <c r="G30" s="856" t="inlineStr">
        <is>
          <t>標準現代文</t>
        </is>
      </c>
      <c r="H30" s="856" t="inlineStr">
        <is>
          <t>←</t>
        </is>
      </c>
      <c r="I30" s="856" t="inlineStr">
        <is>
          <t>←</t>
        </is>
      </c>
      <c r="J30" s="856" t="inlineStr">
        <is>
          <t>←</t>
        </is>
      </c>
      <c r="K30" s="856" t="inlineStr">
        <is>
          <t>←</t>
        </is>
      </c>
      <c r="L30" s="856" t="inlineStr">
        <is>
          <t>←</t>
        </is>
      </c>
      <c r="M30" s="856" t="inlineStr">
        <is>
          <t>←</t>
        </is>
      </c>
      <c r="N30" s="856" t="inlineStr">
        <is>
          <t>←</t>
        </is>
      </c>
      <c r="O30" s="856" t="inlineStr">
        <is>
          <t>夏期講習</t>
        </is>
      </c>
      <c r="P30" s="856" t="inlineStr">
        <is>
          <t>←</t>
        </is>
      </c>
      <c r="Q30" s="856" t="inlineStr">
        <is>
          <t>標準現代文</t>
        </is>
      </c>
      <c r="R30" s="856" t="inlineStr">
        <is>
          <t>←</t>
        </is>
      </c>
      <c r="S30" s="856" t="inlineStr">
        <is>
          <t>←</t>
        </is>
      </c>
      <c r="T30" s="856" t="inlineStr">
        <is>
          <t>←</t>
        </is>
      </c>
      <c r="U30" s="856" t="inlineStr">
        <is>
          <t>直前講習</t>
        </is>
      </c>
      <c r="V30" s="856" t="inlineStr">
        <is>
          <t>←</t>
        </is>
      </c>
    </row>
    <row r="31">
      <c r="A31" s="857" t="inlineStr">
        <is>
          <t>国立文系|現代文|標準|回</t>
        </is>
      </c>
      <c r="B31" s="857" t="inlineStr">
        <is>
          <t>国立文系</t>
        </is>
      </c>
      <c r="C31" s="857" t="inlineStr">
        <is>
          <t>現代文</t>
        </is>
      </c>
      <c r="D31" s="857" t="inlineStr">
        <is>
          <t>標準</t>
        </is>
      </c>
      <c r="E31" s="857" t="inlineStr">
        <is>
          <t>回</t>
        </is>
      </c>
      <c r="F31" s="857" t="n"/>
      <c r="G31" s="857" t="inlineStr">
        <is>
          <t>練成1</t>
        </is>
      </c>
      <c r="H31" s="857" t="inlineStr">
        <is>
          <t>練成2</t>
        </is>
      </c>
      <c r="I31" s="857" t="inlineStr">
        <is>
          <t>※</t>
        </is>
      </c>
      <c r="J31" s="857" t="inlineStr">
        <is>
          <t>※</t>
        </is>
      </c>
      <c r="K31" s="857" t="inlineStr">
        <is>
          <t>※</t>
        </is>
      </c>
      <c r="L31" s="857" t="inlineStr">
        <is>
          <t>※</t>
        </is>
      </c>
      <c r="M31" s="857" t="inlineStr">
        <is>
          <t>※</t>
        </is>
      </c>
      <c r="N31" s="857" t="inlineStr">
        <is>
          <t>※</t>
        </is>
      </c>
      <c r="O31" s="857" t="inlineStr">
        <is>
          <t>夏期1</t>
        </is>
      </c>
      <c r="P31" s="857" t="inlineStr">
        <is>
          <t>※</t>
        </is>
      </c>
      <c r="Q31" s="857" t="inlineStr">
        <is>
          <t>実戦1</t>
        </is>
      </c>
      <c r="R31" s="857" t="inlineStr">
        <is>
          <t>実戦2</t>
        </is>
      </c>
      <c r="S31" s="857" t="inlineStr">
        <is>
          <t>※</t>
        </is>
      </c>
      <c r="T31" s="857" t="inlineStr">
        <is>
          <t>※</t>
        </is>
      </c>
      <c r="U31" s="857" t="inlineStr">
        <is>
          <t>直前1</t>
        </is>
      </c>
      <c r="V31" s="857" t="inlineStr">
        <is>
          <t>※</t>
        </is>
      </c>
    </row>
    <row r="32">
      <c r="A32" s="857" t="inlineStr">
        <is>
          <t>国立文系|現代文|標準|塾</t>
        </is>
      </c>
      <c r="B32" s="857" t="inlineStr">
        <is>
          <t>国立文系</t>
        </is>
      </c>
      <c r="C32" s="857" t="inlineStr">
        <is>
          <t>現代文</t>
        </is>
      </c>
      <c r="D32" s="857" t="inlineStr">
        <is>
          <t>標準</t>
        </is>
      </c>
      <c r="E32" s="857" t="inlineStr">
        <is>
          <t>塾</t>
        </is>
      </c>
      <c r="F32" s="857" t="inlineStr">
        <is>
          <t>【塾】高2範囲の総復習・診断</t>
        </is>
      </c>
      <c r="G32" s="857" t="n"/>
      <c r="H32" s="857" t="n"/>
      <c r="I32" s="857" t="n"/>
      <c r="J32" s="857" t="inlineStr">
        <is>
          <t>【塾】入試現代文へのアクセス</t>
        </is>
      </c>
      <c r="K32" s="857" t="inlineStr">
        <is>
          <t>←</t>
        </is>
      </c>
      <c r="L32" s="857" t="inlineStr">
        <is>
          <t>←</t>
        </is>
      </c>
      <c r="M32" s="857" t="inlineStr">
        <is>
          <t>←</t>
        </is>
      </c>
      <c r="N32" s="857" t="inlineStr">
        <is>
          <t>←</t>
        </is>
      </c>
      <c r="O32" s="857" t="inlineStr">
        <is>
          <t>←</t>
        </is>
      </c>
      <c r="P32" s="857" t="inlineStr">
        <is>
          <t>←</t>
        </is>
      </c>
      <c r="Q32" s="857" t="inlineStr">
        <is>
          <t>【塾】得点奪取現代文（記述対策）</t>
        </is>
      </c>
      <c r="R32" s="857" t="inlineStr">
        <is>
          <t>←</t>
        </is>
      </c>
      <c r="S32" s="857" t="inlineStr">
        <is>
          <t>←</t>
        </is>
      </c>
      <c r="T32" s="857" t="inlineStr">
        <is>
          <t>←</t>
        </is>
      </c>
      <c r="U32" s="857" t="inlineStr">
        <is>
          <t>【塾】{志望校}過去問</t>
        </is>
      </c>
      <c r="V32" s="857" t="inlineStr">
        <is>
          <t>←</t>
        </is>
      </c>
    </row>
    <row r="33">
      <c r="A33" s="857" t="inlineStr">
        <is>
          <t>国立文系|現代文|標準|家</t>
        </is>
      </c>
      <c r="B33" s="857" t="inlineStr">
        <is>
          <t>国立文系</t>
        </is>
      </c>
      <c r="C33" s="857" t="inlineStr">
        <is>
          <t>現代文</t>
        </is>
      </c>
      <c r="D33" s="857" t="inlineStr">
        <is>
          <t>標準</t>
        </is>
      </c>
      <c r="E33" s="857" t="inlineStr">
        <is>
          <t>家</t>
        </is>
      </c>
      <c r="F33" s="857" t="inlineStr">
        <is>
          <t>【家】現代文キーワード読解（毎週）</t>
        </is>
      </c>
      <c r="G33" s="857" t="inlineStr">
        <is>
          <t>←</t>
        </is>
      </c>
      <c r="H33" s="857" t="inlineStr">
        <is>
          <t>←</t>
        </is>
      </c>
      <c r="I33" s="857" t="inlineStr">
        <is>
          <t>←</t>
        </is>
      </c>
      <c r="J33" s="857" t="inlineStr">
        <is>
          <t>←</t>
        </is>
      </c>
      <c r="K33" s="857" t="inlineStr">
        <is>
          <t>←</t>
        </is>
      </c>
      <c r="L33" s="857" t="inlineStr">
        <is>
          <t>←</t>
        </is>
      </c>
      <c r="M33" s="857" t="inlineStr">
        <is>
          <t>←</t>
        </is>
      </c>
      <c r="N33" s="857" t="inlineStr">
        <is>
          <t>←</t>
        </is>
      </c>
      <c r="O33" s="857" t="inlineStr">
        <is>
          <t>←</t>
        </is>
      </c>
      <c r="P33" s="857" t="inlineStr">
        <is>
          <t>←</t>
        </is>
      </c>
      <c r="Q33" s="857" t="inlineStr">
        <is>
          <t>【家】共通テスト過去問（現代文）</t>
        </is>
      </c>
      <c r="R33" s="857" t="inlineStr">
        <is>
          <t>←</t>
        </is>
      </c>
      <c r="S33" s="857" t="inlineStr">
        <is>
          <t>←</t>
        </is>
      </c>
      <c r="T33" s="857" t="inlineStr">
        <is>
          <t>←</t>
        </is>
      </c>
      <c r="U33" s="857" t="inlineStr">
        <is>
          <t>【家】{志望校}過去問</t>
        </is>
      </c>
      <c r="V33" s="857" t="inlineStr">
        <is>
          <t>←</t>
        </is>
      </c>
    </row>
    <row r="34">
      <c r="A34" s="856" t="inlineStr">
        <is>
          <t>国立文系|現代文|難関|講座</t>
        </is>
      </c>
      <c r="B34" s="856" t="inlineStr">
        <is>
          <t>国立文系</t>
        </is>
      </c>
      <c r="C34" s="856" t="inlineStr">
        <is>
          <t>現代文</t>
        </is>
      </c>
      <c r="D34" s="856" t="inlineStr">
        <is>
          <t>難関</t>
        </is>
      </c>
      <c r="E34" s="856" t="inlineStr">
        <is>
          <t>講座</t>
        </is>
      </c>
      <c r="F34" s="856" t="n"/>
      <c r="G34" s="856" t="inlineStr">
        <is>
          <t>G3LGK　難関国公立大現代文</t>
        </is>
      </c>
      <c r="H34" s="856" t="inlineStr">
        <is>
          <t>←</t>
        </is>
      </c>
      <c r="I34" s="856" t="inlineStr">
        <is>
          <t>←</t>
        </is>
      </c>
      <c r="J34" s="856" t="inlineStr">
        <is>
          <t>←</t>
        </is>
      </c>
      <c r="K34" s="856" t="inlineStr">
        <is>
          <t>←</t>
        </is>
      </c>
      <c r="L34" s="856" t="inlineStr">
        <is>
          <t>←</t>
        </is>
      </c>
      <c r="M34" s="856" t="inlineStr">
        <is>
          <t>←</t>
        </is>
      </c>
      <c r="N34" s="856" t="inlineStr">
        <is>
          <t>←</t>
        </is>
      </c>
      <c r="O34" s="856" t="inlineStr">
        <is>
          <t>NG3LGK</t>
        </is>
      </c>
      <c r="P34" s="856" t="inlineStr">
        <is>
          <t>←</t>
        </is>
      </c>
      <c r="Q34" s="856" t="inlineStr">
        <is>
          <t>G3LGK　難関国公立大現代文</t>
        </is>
      </c>
      <c r="R34" s="856" t="inlineStr">
        <is>
          <t>←</t>
        </is>
      </c>
      <c r="S34" s="856" t="inlineStr">
        <is>
          <t>←</t>
        </is>
      </c>
      <c r="T34" s="856" t="inlineStr">
        <is>
          <t>←</t>
        </is>
      </c>
      <c r="U34" s="856" t="inlineStr">
        <is>
          <t>FG3LGK</t>
        </is>
      </c>
      <c r="V34" s="856" t="inlineStr">
        <is>
          <t>←</t>
        </is>
      </c>
    </row>
    <row r="35">
      <c r="A35" s="857" t="inlineStr">
        <is>
          <t>国立文系|現代文|難関|回</t>
        </is>
      </c>
      <c r="B35" s="857" t="inlineStr">
        <is>
          <t>国立文系</t>
        </is>
      </c>
      <c r="C35" s="857" t="inlineStr">
        <is>
          <t>現代文</t>
        </is>
      </c>
      <c r="D35" s="857" t="inlineStr">
        <is>
          <t>難関</t>
        </is>
      </c>
      <c r="E35" s="857" t="inlineStr">
        <is>
          <t>回</t>
        </is>
      </c>
      <c r="F35" s="857" t="n"/>
      <c r="G35" s="857" t="inlineStr">
        <is>
          <t>練成1</t>
        </is>
      </c>
      <c r="H35" s="857" t="inlineStr">
        <is>
          <t>練成2</t>
        </is>
      </c>
      <c r="I35" s="857" t="inlineStr">
        <is>
          <t>※</t>
        </is>
      </c>
      <c r="J35" s="857" t="inlineStr">
        <is>
          <t>※</t>
        </is>
      </c>
      <c r="K35" s="857" t="inlineStr">
        <is>
          <t>※</t>
        </is>
      </c>
      <c r="L35" s="857" t="inlineStr">
        <is>
          <t>※</t>
        </is>
      </c>
      <c r="M35" s="857" t="inlineStr">
        <is>
          <t>※</t>
        </is>
      </c>
      <c r="N35" s="857" t="inlineStr">
        <is>
          <t>※</t>
        </is>
      </c>
      <c r="O35" s="857" t="inlineStr">
        <is>
          <t>夏期1</t>
        </is>
      </c>
      <c r="P35" s="857" t="inlineStr">
        <is>
          <t>※</t>
        </is>
      </c>
      <c r="Q35" s="857" t="inlineStr">
        <is>
          <t>実戦1</t>
        </is>
      </c>
      <c r="R35" s="857" t="inlineStr">
        <is>
          <t>実戦2</t>
        </is>
      </c>
      <c r="S35" s="857" t="inlineStr">
        <is>
          <t>※</t>
        </is>
      </c>
      <c r="T35" s="857" t="inlineStr">
        <is>
          <t>※</t>
        </is>
      </c>
      <c r="U35" s="857" t="inlineStr">
        <is>
          <t>直前1</t>
        </is>
      </c>
      <c r="V35" s="857" t="inlineStr">
        <is>
          <t>※</t>
        </is>
      </c>
    </row>
    <row r="36">
      <c r="A36" s="857" t="inlineStr">
        <is>
          <t>国立文系|現代文|難関|塾</t>
        </is>
      </c>
      <c r="B36" s="857" t="inlineStr">
        <is>
          <t>国立文系</t>
        </is>
      </c>
      <c r="C36" s="857" t="inlineStr">
        <is>
          <t>現代文</t>
        </is>
      </c>
      <c r="D36" s="857" t="inlineStr">
        <is>
          <t>難関</t>
        </is>
      </c>
      <c r="E36" s="857" t="inlineStr">
        <is>
          <t>塾</t>
        </is>
      </c>
      <c r="F36" s="857" t="inlineStr">
        <is>
          <t>【塾】高2範囲の総復習・診断</t>
        </is>
      </c>
      <c r="G36" s="857" t="n"/>
      <c r="H36" s="857" t="n"/>
      <c r="I36" s="857" t="n"/>
      <c r="J36" s="857" t="inlineStr">
        <is>
          <t>【塾】現代文と格闘する（記述答案づくり）</t>
        </is>
      </c>
      <c r="K36" s="857" t="inlineStr">
        <is>
          <t>←</t>
        </is>
      </c>
      <c r="L36" s="857" t="inlineStr">
        <is>
          <t>←</t>
        </is>
      </c>
      <c r="M36" s="857" t="inlineStr">
        <is>
          <t>←</t>
        </is>
      </c>
      <c r="N36" s="857" t="inlineStr">
        <is>
          <t>←</t>
        </is>
      </c>
      <c r="O36" s="857" t="inlineStr">
        <is>
          <t>←</t>
        </is>
      </c>
      <c r="P36" s="857" t="inlineStr">
        <is>
          <t>←</t>
        </is>
      </c>
      <c r="Q36" s="857" t="n"/>
      <c r="R36" s="857" t="n"/>
      <c r="S36" s="857" t="n"/>
      <c r="T36" s="857" t="n"/>
      <c r="U36" s="857" t="inlineStr">
        <is>
          <t>【塾】{志望校}過去問</t>
        </is>
      </c>
      <c r="V36" s="857" t="inlineStr">
        <is>
          <t>←</t>
        </is>
      </c>
    </row>
    <row r="37">
      <c r="A37" s="857" t="inlineStr">
        <is>
          <t>国立文系|現代文|難関|家</t>
        </is>
      </c>
      <c r="B37" s="857" t="inlineStr">
        <is>
          <t>国立文系</t>
        </is>
      </c>
      <c r="C37" s="857" t="inlineStr">
        <is>
          <t>現代文</t>
        </is>
      </c>
      <c r="D37" s="857" t="inlineStr">
        <is>
          <t>難関</t>
        </is>
      </c>
      <c r="E37" s="857" t="inlineStr">
        <is>
          <t>家</t>
        </is>
      </c>
      <c r="F37" s="857" t="inlineStr">
        <is>
          <t>【家】現代文キーワード読解（毎週）</t>
        </is>
      </c>
      <c r="G37" s="857" t="inlineStr">
        <is>
          <t>←</t>
        </is>
      </c>
      <c r="H37" s="857" t="inlineStr">
        <is>
          <t>←</t>
        </is>
      </c>
      <c r="I37" s="857" t="inlineStr">
        <is>
          <t>←</t>
        </is>
      </c>
      <c r="J37" s="857" t="inlineStr">
        <is>
          <t>←</t>
        </is>
      </c>
      <c r="K37" s="857" t="inlineStr">
        <is>
          <t>←</t>
        </is>
      </c>
      <c r="L37" s="857" t="inlineStr">
        <is>
          <t>←</t>
        </is>
      </c>
      <c r="M37" s="857" t="inlineStr">
        <is>
          <t>←</t>
        </is>
      </c>
      <c r="N37" s="857" t="inlineStr">
        <is>
          <t>←</t>
        </is>
      </c>
      <c r="O37" s="857" t="inlineStr">
        <is>
          <t>←</t>
        </is>
      </c>
      <c r="P37" s="857" t="inlineStr">
        <is>
          <t>←</t>
        </is>
      </c>
      <c r="Q37" s="857" t="inlineStr">
        <is>
          <t>【家】共通テスト過去問（現代文）</t>
        </is>
      </c>
      <c r="R37" s="857" t="inlineStr">
        <is>
          <t>←</t>
        </is>
      </c>
      <c r="S37" s="857" t="inlineStr">
        <is>
          <t>←</t>
        </is>
      </c>
      <c r="T37" s="857" t="inlineStr">
        <is>
          <t>←</t>
        </is>
      </c>
      <c r="U37" s="857" t="inlineStr">
        <is>
          <t>【家】{志望校}過去問</t>
        </is>
      </c>
      <c r="V37" s="857" t="inlineStr">
        <is>
          <t>←</t>
        </is>
      </c>
    </row>
    <row r="38">
      <c r="A38" s="856" t="inlineStr">
        <is>
          <t>国立文系|古文|基礎|講座</t>
        </is>
      </c>
      <c r="B38" s="856" t="inlineStr">
        <is>
          <t>国立文系</t>
        </is>
      </c>
      <c r="C38" s="856" t="inlineStr">
        <is>
          <t>古文</t>
        </is>
      </c>
      <c r="D38" s="856" t="inlineStr">
        <is>
          <t>基礎</t>
        </is>
      </c>
      <c r="E38" s="856" t="inlineStr">
        <is>
          <t>講座</t>
        </is>
      </c>
      <c r="F38" s="856" t="n"/>
      <c r="G38" s="856" t="inlineStr">
        <is>
          <t>基礎古文（文法）</t>
        </is>
      </c>
      <c r="H38" s="856" t="inlineStr">
        <is>
          <t>←</t>
        </is>
      </c>
      <c r="I38" s="856" t="inlineStr">
        <is>
          <t>←</t>
        </is>
      </c>
      <c r="J38" s="856" t="inlineStr">
        <is>
          <t>←</t>
        </is>
      </c>
      <c r="K38" s="856" t="inlineStr">
        <is>
          <t>←</t>
        </is>
      </c>
      <c r="L38" s="856" t="inlineStr">
        <is>
          <t>←</t>
        </is>
      </c>
      <c r="M38" s="856" t="inlineStr">
        <is>
          <t>←</t>
        </is>
      </c>
      <c r="N38" s="856" t="inlineStr">
        <is>
          <t>←</t>
        </is>
      </c>
      <c r="O38" s="856" t="inlineStr">
        <is>
          <t>夏期講習</t>
        </is>
      </c>
      <c r="P38" s="856" t="inlineStr">
        <is>
          <t>←</t>
        </is>
      </c>
      <c r="Q38" s="856" t="inlineStr">
        <is>
          <t>基礎古文（文法）</t>
        </is>
      </c>
      <c r="R38" s="856" t="inlineStr">
        <is>
          <t>←</t>
        </is>
      </c>
      <c r="S38" s="856" t="inlineStr">
        <is>
          <t>←</t>
        </is>
      </c>
      <c r="T38" s="856" t="inlineStr">
        <is>
          <t>←</t>
        </is>
      </c>
      <c r="U38" s="856" t="inlineStr">
        <is>
          <t>直前講習</t>
        </is>
      </c>
      <c r="V38" s="856" t="inlineStr">
        <is>
          <t>←</t>
        </is>
      </c>
    </row>
    <row r="39">
      <c r="A39" s="857" t="inlineStr">
        <is>
          <t>国立文系|古文|基礎|回</t>
        </is>
      </c>
      <c r="B39" s="857" t="inlineStr">
        <is>
          <t>国立文系</t>
        </is>
      </c>
      <c r="C39" s="857" t="inlineStr">
        <is>
          <t>古文</t>
        </is>
      </c>
      <c r="D39" s="857" t="inlineStr">
        <is>
          <t>基礎</t>
        </is>
      </c>
      <c r="E39" s="857" t="inlineStr">
        <is>
          <t>回</t>
        </is>
      </c>
      <c r="F39" s="857" t="n"/>
      <c r="G39" s="857" t="inlineStr">
        <is>
          <t>練成1</t>
        </is>
      </c>
      <c r="H39" s="857" t="inlineStr">
        <is>
          <t>練成2</t>
        </is>
      </c>
      <c r="I39" s="857" t="inlineStr">
        <is>
          <t>※</t>
        </is>
      </c>
      <c r="J39" s="857" t="inlineStr">
        <is>
          <t>※</t>
        </is>
      </c>
      <c r="K39" s="857" t="inlineStr">
        <is>
          <t>※</t>
        </is>
      </c>
      <c r="L39" s="857" t="inlineStr">
        <is>
          <t>※</t>
        </is>
      </c>
      <c r="M39" s="857" t="inlineStr">
        <is>
          <t>※</t>
        </is>
      </c>
      <c r="N39" s="857" t="inlineStr">
        <is>
          <t>※</t>
        </is>
      </c>
      <c r="O39" s="857" t="inlineStr">
        <is>
          <t>夏期1</t>
        </is>
      </c>
      <c r="P39" s="857" t="inlineStr">
        <is>
          <t>※</t>
        </is>
      </c>
      <c r="Q39" s="857" t="inlineStr">
        <is>
          <t>実戦1</t>
        </is>
      </c>
      <c r="R39" s="857" t="inlineStr">
        <is>
          <t>実戦2</t>
        </is>
      </c>
      <c r="S39" s="857" t="inlineStr">
        <is>
          <t>※</t>
        </is>
      </c>
      <c r="T39" s="857" t="inlineStr">
        <is>
          <t>※</t>
        </is>
      </c>
      <c r="U39" s="857" t="inlineStr">
        <is>
          <t>直前1</t>
        </is>
      </c>
      <c r="V39" s="857" t="inlineStr">
        <is>
          <t>※</t>
        </is>
      </c>
    </row>
    <row r="40">
      <c r="A40" s="857" t="inlineStr">
        <is>
          <t>国立文系|古文|基礎|塾</t>
        </is>
      </c>
      <c r="B40" s="857" t="inlineStr">
        <is>
          <t>国立文系</t>
        </is>
      </c>
      <c r="C40" s="857" t="inlineStr">
        <is>
          <t>古文</t>
        </is>
      </c>
      <c r="D40" s="857" t="inlineStr">
        <is>
          <t>基礎</t>
        </is>
      </c>
      <c r="E40" s="857" t="inlineStr">
        <is>
          <t>塾</t>
        </is>
      </c>
      <c r="F40" s="857" t="inlineStr">
        <is>
          <t>【塾】古文文法 ステップアップノート30</t>
        </is>
      </c>
      <c r="G40" s="857" t="inlineStr">
        <is>
          <t>←</t>
        </is>
      </c>
      <c r="H40" s="857" t="inlineStr">
        <is>
          <t>←</t>
        </is>
      </c>
      <c r="I40" s="857" t="inlineStr">
        <is>
          <t>←</t>
        </is>
      </c>
      <c r="J40" s="857" t="inlineStr">
        <is>
          <t>←</t>
        </is>
      </c>
      <c r="K40" s="857" t="inlineStr">
        <is>
          <t>←</t>
        </is>
      </c>
      <c r="L40" s="857" t="inlineStr">
        <is>
          <t>←</t>
        </is>
      </c>
      <c r="M40" s="857" t="inlineStr">
        <is>
          <t>←</t>
        </is>
      </c>
      <c r="N40" s="857" t="inlineStr">
        <is>
          <t>←</t>
        </is>
      </c>
      <c r="O40" s="857" t="inlineStr">
        <is>
          <t>←</t>
        </is>
      </c>
      <c r="P40" s="857" t="inlineStr">
        <is>
          <t>←</t>
        </is>
      </c>
      <c r="Q40" s="857" t="inlineStr">
        <is>
          <t>【塾】共通テスト・志望校過去問（古文）</t>
        </is>
      </c>
      <c r="R40" s="857" t="inlineStr">
        <is>
          <t>←</t>
        </is>
      </c>
      <c r="S40" s="857" t="inlineStr">
        <is>
          <t>←</t>
        </is>
      </c>
      <c r="T40" s="857" t="inlineStr">
        <is>
          <t>←</t>
        </is>
      </c>
      <c r="U40" s="857" t="n"/>
      <c r="V40" s="857" t="n"/>
    </row>
    <row r="41">
      <c r="A41" s="857" t="inlineStr">
        <is>
          <t>国立文系|古文|基礎|家</t>
        </is>
      </c>
      <c r="B41" s="857" t="inlineStr">
        <is>
          <t>国立文系</t>
        </is>
      </c>
      <c r="C41" s="857" t="inlineStr">
        <is>
          <t>古文</t>
        </is>
      </c>
      <c r="D41" s="857" t="inlineStr">
        <is>
          <t>基礎</t>
        </is>
      </c>
      <c r="E41" s="857" t="inlineStr">
        <is>
          <t>家</t>
        </is>
      </c>
      <c r="F41" s="857" t="inlineStr">
        <is>
          <t>【家】重要古文単語315（1周目）</t>
        </is>
      </c>
      <c r="G41" s="857" t="inlineStr">
        <is>
          <t>←</t>
        </is>
      </c>
      <c r="H41" s="857" t="inlineStr">
        <is>
          <t>←</t>
        </is>
      </c>
      <c r="I41" s="857" t="inlineStr">
        <is>
          <t>←</t>
        </is>
      </c>
      <c r="J41" s="857" t="inlineStr">
        <is>
          <t>←</t>
        </is>
      </c>
      <c r="K41" s="857" t="inlineStr">
        <is>
          <t>←</t>
        </is>
      </c>
      <c r="L41" s="857" t="inlineStr">
        <is>
          <t>←</t>
        </is>
      </c>
      <c r="M41" s="857" t="inlineStr">
        <is>
          <t>【家】重要古文単語315（毎日復習）</t>
        </is>
      </c>
      <c r="N41" s="857" t="inlineStr">
        <is>
          <t>←</t>
        </is>
      </c>
      <c r="O41" s="857" t="inlineStr">
        <is>
          <t>←</t>
        </is>
      </c>
      <c r="P41" s="857" t="inlineStr">
        <is>
          <t>←</t>
        </is>
      </c>
      <c r="Q41" s="857" t="inlineStr">
        <is>
          <t>【家】重要古文単語315（毎日復習・10周）</t>
        </is>
      </c>
      <c r="R41" s="857" t="inlineStr">
        <is>
          <t>←</t>
        </is>
      </c>
      <c r="S41" s="857" t="inlineStr">
        <is>
          <t>←</t>
        </is>
      </c>
      <c r="T41" s="857" t="inlineStr">
        <is>
          <t>←</t>
        </is>
      </c>
      <c r="U41" s="857" t="inlineStr">
        <is>
          <t>←</t>
        </is>
      </c>
      <c r="V41" s="857" t="inlineStr">
        <is>
          <t>←</t>
        </is>
      </c>
    </row>
    <row r="42">
      <c r="A42" s="856" t="inlineStr">
        <is>
          <t>国立文系|古文|標準|講座</t>
        </is>
      </c>
      <c r="B42" s="856" t="inlineStr">
        <is>
          <t>国立文系</t>
        </is>
      </c>
      <c r="C42" s="856" t="inlineStr">
        <is>
          <t>古文</t>
        </is>
      </c>
      <c r="D42" s="856" t="inlineStr">
        <is>
          <t>標準</t>
        </is>
      </c>
      <c r="E42" s="856" t="inlineStr">
        <is>
          <t>講座</t>
        </is>
      </c>
      <c r="F42" s="856" t="n"/>
      <c r="G42" s="856" t="inlineStr">
        <is>
          <t>標準古文</t>
        </is>
      </c>
      <c r="H42" s="856" t="inlineStr">
        <is>
          <t>←</t>
        </is>
      </c>
      <c r="I42" s="856" t="inlineStr">
        <is>
          <t>←</t>
        </is>
      </c>
      <c r="J42" s="856" t="inlineStr">
        <is>
          <t>←</t>
        </is>
      </c>
      <c r="K42" s="856" t="inlineStr">
        <is>
          <t>←</t>
        </is>
      </c>
      <c r="L42" s="856" t="inlineStr">
        <is>
          <t>←</t>
        </is>
      </c>
      <c r="M42" s="856" t="inlineStr">
        <is>
          <t>←</t>
        </is>
      </c>
      <c r="N42" s="856" t="inlineStr">
        <is>
          <t>←</t>
        </is>
      </c>
      <c r="O42" s="856" t="inlineStr">
        <is>
          <t>夏期講習</t>
        </is>
      </c>
      <c r="P42" s="856" t="inlineStr">
        <is>
          <t>←</t>
        </is>
      </c>
      <c r="Q42" s="856" t="inlineStr">
        <is>
          <t>標準古文</t>
        </is>
      </c>
      <c r="R42" s="856" t="inlineStr">
        <is>
          <t>←</t>
        </is>
      </c>
      <c r="S42" s="856" t="inlineStr">
        <is>
          <t>←</t>
        </is>
      </c>
      <c r="T42" s="856" t="inlineStr">
        <is>
          <t>←</t>
        </is>
      </c>
      <c r="U42" s="856" t="inlineStr">
        <is>
          <t>直前講習</t>
        </is>
      </c>
      <c r="V42" s="856" t="inlineStr">
        <is>
          <t>←</t>
        </is>
      </c>
    </row>
    <row r="43">
      <c r="A43" s="857" t="inlineStr">
        <is>
          <t>国立文系|古文|標準|回</t>
        </is>
      </c>
      <c r="B43" s="857" t="inlineStr">
        <is>
          <t>国立文系</t>
        </is>
      </c>
      <c r="C43" s="857" t="inlineStr">
        <is>
          <t>古文</t>
        </is>
      </c>
      <c r="D43" s="857" t="inlineStr">
        <is>
          <t>標準</t>
        </is>
      </c>
      <c r="E43" s="857" t="inlineStr">
        <is>
          <t>回</t>
        </is>
      </c>
      <c r="F43" s="857" t="n"/>
      <c r="G43" s="857" t="inlineStr">
        <is>
          <t>練成1</t>
        </is>
      </c>
      <c r="H43" s="857" t="inlineStr">
        <is>
          <t>練成2</t>
        </is>
      </c>
      <c r="I43" s="857" t="inlineStr">
        <is>
          <t>※</t>
        </is>
      </c>
      <c r="J43" s="857" t="inlineStr">
        <is>
          <t>※</t>
        </is>
      </c>
      <c r="K43" s="857" t="inlineStr">
        <is>
          <t>※</t>
        </is>
      </c>
      <c r="L43" s="857" t="inlineStr">
        <is>
          <t>※</t>
        </is>
      </c>
      <c r="M43" s="857" t="inlineStr">
        <is>
          <t>※</t>
        </is>
      </c>
      <c r="N43" s="857" t="inlineStr">
        <is>
          <t>※</t>
        </is>
      </c>
      <c r="O43" s="857" t="inlineStr">
        <is>
          <t>夏期1</t>
        </is>
      </c>
      <c r="P43" s="857" t="inlineStr">
        <is>
          <t>※</t>
        </is>
      </c>
      <c r="Q43" s="857" t="inlineStr">
        <is>
          <t>実戦1</t>
        </is>
      </c>
      <c r="R43" s="857" t="inlineStr">
        <is>
          <t>実戦2</t>
        </is>
      </c>
      <c r="S43" s="857" t="inlineStr">
        <is>
          <t>※</t>
        </is>
      </c>
      <c r="T43" s="857" t="inlineStr">
        <is>
          <t>※</t>
        </is>
      </c>
      <c r="U43" s="857" t="inlineStr">
        <is>
          <t>直前1</t>
        </is>
      </c>
      <c r="V43" s="857" t="inlineStr">
        <is>
          <t>※</t>
        </is>
      </c>
    </row>
    <row r="44">
      <c r="A44" s="857" t="inlineStr">
        <is>
          <t>国立文系|古文|標準|塾</t>
        </is>
      </c>
      <c r="B44" s="857" t="inlineStr">
        <is>
          <t>国立文系</t>
        </is>
      </c>
      <c r="C44" s="857" t="inlineStr">
        <is>
          <t>古文</t>
        </is>
      </c>
      <c r="D44" s="857" t="inlineStr">
        <is>
          <t>標準</t>
        </is>
      </c>
      <c r="E44" s="857" t="inlineStr">
        <is>
          <t>塾</t>
        </is>
      </c>
      <c r="F44" s="857" t="inlineStr">
        <is>
          <t>【塾】古文上達 基礎編 読解と演習45</t>
        </is>
      </c>
      <c r="G44" s="857" t="inlineStr">
        <is>
          <t>←</t>
        </is>
      </c>
      <c r="H44" s="857" t="inlineStr">
        <is>
          <t>←</t>
        </is>
      </c>
      <c r="I44" s="857" t="inlineStr">
        <is>
          <t>←</t>
        </is>
      </c>
      <c r="J44" s="857" t="inlineStr">
        <is>
          <t>←</t>
        </is>
      </c>
      <c r="K44" s="857" t="inlineStr">
        <is>
          <t>←</t>
        </is>
      </c>
      <c r="L44" s="857" t="inlineStr">
        <is>
          <t>←</t>
        </is>
      </c>
      <c r="M44" s="857" t="inlineStr">
        <is>
          <t>←</t>
        </is>
      </c>
      <c r="N44" s="857" t="inlineStr">
        <is>
          <t>←</t>
        </is>
      </c>
      <c r="O44" s="857" t="inlineStr">
        <is>
          <t>←</t>
        </is>
      </c>
      <c r="P44" s="857" t="inlineStr">
        <is>
          <t>←</t>
        </is>
      </c>
      <c r="Q44" s="857" t="inlineStr">
        <is>
          <t>【塾】共通テスト・志望校過去問（古文）</t>
        </is>
      </c>
      <c r="R44" s="857" t="inlineStr">
        <is>
          <t>←</t>
        </is>
      </c>
      <c r="S44" s="857" t="inlineStr">
        <is>
          <t>←</t>
        </is>
      </c>
      <c r="T44" s="857" t="inlineStr">
        <is>
          <t>←</t>
        </is>
      </c>
      <c r="U44" s="857" t="n"/>
      <c r="V44" s="857" t="n"/>
    </row>
    <row r="45">
      <c r="A45" s="857" t="inlineStr">
        <is>
          <t>国立文系|古文|標準|家</t>
        </is>
      </c>
      <c r="B45" s="857" t="inlineStr">
        <is>
          <t>国立文系</t>
        </is>
      </c>
      <c r="C45" s="857" t="inlineStr">
        <is>
          <t>古文</t>
        </is>
      </c>
      <c r="D45" s="857" t="inlineStr">
        <is>
          <t>標準</t>
        </is>
      </c>
      <c r="E45" s="857" t="inlineStr">
        <is>
          <t>家</t>
        </is>
      </c>
      <c r="F45" s="857" t="inlineStr">
        <is>
          <t>【家】重要古文単語315（1周目）</t>
        </is>
      </c>
      <c r="G45" s="857" t="inlineStr">
        <is>
          <t>←</t>
        </is>
      </c>
      <c r="H45" s="857" t="inlineStr">
        <is>
          <t>←</t>
        </is>
      </c>
      <c r="I45" s="857" t="inlineStr">
        <is>
          <t>←</t>
        </is>
      </c>
      <c r="J45" s="857" t="inlineStr">
        <is>
          <t>←</t>
        </is>
      </c>
      <c r="K45" s="857" t="inlineStr">
        <is>
          <t>←</t>
        </is>
      </c>
      <c r="L45" s="857" t="inlineStr">
        <is>
          <t>←</t>
        </is>
      </c>
      <c r="M45" s="857" t="inlineStr">
        <is>
          <t>【家】重要古文単語315（毎日復習）</t>
        </is>
      </c>
      <c r="N45" s="857" t="inlineStr">
        <is>
          <t>←</t>
        </is>
      </c>
      <c r="O45" s="857" t="inlineStr">
        <is>
          <t>←</t>
        </is>
      </c>
      <c r="P45" s="857" t="inlineStr">
        <is>
          <t>←</t>
        </is>
      </c>
      <c r="Q45" s="857" t="inlineStr">
        <is>
          <t>【家】重要古文単語315（毎日復習・10周）</t>
        </is>
      </c>
      <c r="R45" s="857" t="inlineStr">
        <is>
          <t>←</t>
        </is>
      </c>
      <c r="S45" s="857" t="inlineStr">
        <is>
          <t>←</t>
        </is>
      </c>
      <c r="T45" s="857" t="inlineStr">
        <is>
          <t>←</t>
        </is>
      </c>
      <c r="U45" s="857" t="inlineStr">
        <is>
          <t>←</t>
        </is>
      </c>
      <c r="V45" s="857" t="inlineStr">
        <is>
          <t>←</t>
        </is>
      </c>
    </row>
    <row r="46">
      <c r="A46" s="856" t="inlineStr">
        <is>
          <t>国立文系|古文|難関|講座</t>
        </is>
      </c>
      <c r="B46" s="856" t="inlineStr">
        <is>
          <t>国立文系</t>
        </is>
      </c>
      <c r="C46" s="856" t="inlineStr">
        <is>
          <t>古文</t>
        </is>
      </c>
      <c r="D46" s="856" t="inlineStr">
        <is>
          <t>難関</t>
        </is>
      </c>
      <c r="E46" s="856" t="inlineStr">
        <is>
          <t>講座</t>
        </is>
      </c>
      <c r="F46" s="856" t="n"/>
      <c r="G46" s="856" t="inlineStr">
        <is>
          <t>G3LC　難関大古文ゼミ</t>
        </is>
      </c>
      <c r="H46" s="856" t="inlineStr">
        <is>
          <t>←</t>
        </is>
      </c>
      <c r="I46" s="856" t="inlineStr">
        <is>
          <t>←</t>
        </is>
      </c>
      <c r="J46" s="856" t="inlineStr">
        <is>
          <t>←</t>
        </is>
      </c>
      <c r="K46" s="856" t="inlineStr">
        <is>
          <t>←</t>
        </is>
      </c>
      <c r="L46" s="856" t="inlineStr">
        <is>
          <t>←</t>
        </is>
      </c>
      <c r="M46" s="856" t="inlineStr">
        <is>
          <t>←</t>
        </is>
      </c>
      <c r="N46" s="856" t="inlineStr">
        <is>
          <t>←</t>
        </is>
      </c>
      <c r="O46" s="856" t="inlineStr">
        <is>
          <t>NG3LC</t>
        </is>
      </c>
      <c r="P46" s="856" t="inlineStr">
        <is>
          <t>←</t>
        </is>
      </c>
      <c r="Q46" s="856" t="inlineStr">
        <is>
          <t>G3LC　難関大古文ゼミ</t>
        </is>
      </c>
      <c r="R46" s="856" t="inlineStr">
        <is>
          <t>←</t>
        </is>
      </c>
      <c r="S46" s="856" t="inlineStr">
        <is>
          <t>←</t>
        </is>
      </c>
      <c r="T46" s="856" t="inlineStr">
        <is>
          <t>←</t>
        </is>
      </c>
      <c r="U46" s="856" t="inlineStr">
        <is>
          <t>FG3LC</t>
        </is>
      </c>
      <c r="V46" s="856" t="inlineStr">
        <is>
          <t>←</t>
        </is>
      </c>
    </row>
    <row r="47">
      <c r="A47" s="857" t="inlineStr">
        <is>
          <t>国立文系|古文|難関|回</t>
        </is>
      </c>
      <c r="B47" s="857" t="inlineStr">
        <is>
          <t>国立文系</t>
        </is>
      </c>
      <c r="C47" s="857" t="inlineStr">
        <is>
          <t>古文</t>
        </is>
      </c>
      <c r="D47" s="857" t="inlineStr">
        <is>
          <t>難関</t>
        </is>
      </c>
      <c r="E47" s="857" t="inlineStr">
        <is>
          <t>回</t>
        </is>
      </c>
      <c r="F47" s="857" t="n"/>
      <c r="G47" s="857" t="inlineStr">
        <is>
          <t>前期1</t>
        </is>
      </c>
      <c r="H47" s="857" t="inlineStr">
        <is>
          <t>前期2</t>
        </is>
      </c>
      <c r="I47" s="857" t="inlineStr">
        <is>
          <t>※</t>
        </is>
      </c>
      <c r="J47" s="857" t="inlineStr">
        <is>
          <t>※</t>
        </is>
      </c>
      <c r="K47" s="857" t="inlineStr">
        <is>
          <t>※</t>
        </is>
      </c>
      <c r="L47" s="857" t="inlineStr">
        <is>
          <t>※</t>
        </is>
      </c>
      <c r="M47" s="857" t="inlineStr">
        <is>
          <t>※</t>
        </is>
      </c>
      <c r="N47" s="857" t="inlineStr">
        <is>
          <t>※</t>
        </is>
      </c>
      <c r="O47" s="857" t="inlineStr">
        <is>
          <t>夏期1</t>
        </is>
      </c>
      <c r="P47" s="857" t="inlineStr">
        <is>
          <t>夏期2</t>
        </is>
      </c>
      <c r="Q47" s="857" t="inlineStr">
        <is>
          <t>後期1</t>
        </is>
      </c>
      <c r="R47" s="857" t="inlineStr">
        <is>
          <t>後期2</t>
        </is>
      </c>
      <c r="S47" s="857" t="inlineStr">
        <is>
          <t>※</t>
        </is>
      </c>
      <c r="T47" s="857" t="inlineStr">
        <is>
          <t>※</t>
        </is>
      </c>
      <c r="U47" s="857" t="inlineStr">
        <is>
          <t>直前1</t>
        </is>
      </c>
      <c r="V47" s="857" t="inlineStr">
        <is>
          <t>※</t>
        </is>
      </c>
    </row>
    <row r="48">
      <c r="A48" s="857" t="inlineStr">
        <is>
          <t>国立文系|古文|難関|塾</t>
        </is>
      </c>
      <c r="B48" s="857" t="inlineStr">
        <is>
          <t>国立文系</t>
        </is>
      </c>
      <c r="C48" s="857" t="inlineStr">
        <is>
          <t>古文</t>
        </is>
      </c>
      <c r="D48" s="857" t="inlineStr">
        <is>
          <t>難関</t>
        </is>
      </c>
      <c r="E48" s="857" t="inlineStr">
        <is>
          <t>塾</t>
        </is>
      </c>
      <c r="F48" s="857" t="inlineStr">
        <is>
          <t>【塾】古文上達 基礎編 読解と演習45</t>
        </is>
      </c>
      <c r="G48" s="857" t="inlineStr">
        <is>
          <t>←</t>
        </is>
      </c>
      <c r="H48" s="857" t="inlineStr">
        <is>
          <t>←</t>
        </is>
      </c>
      <c r="I48" s="857" t="inlineStr">
        <is>
          <t>←</t>
        </is>
      </c>
      <c r="J48" s="857" t="inlineStr">
        <is>
          <t>←</t>
        </is>
      </c>
      <c r="K48" s="857" t="inlineStr">
        <is>
          <t>←</t>
        </is>
      </c>
      <c r="L48" s="857" t="inlineStr">
        <is>
          <t>←</t>
        </is>
      </c>
      <c r="M48" s="857" t="inlineStr">
        <is>
          <t>←</t>
        </is>
      </c>
      <c r="N48" s="857" t="inlineStr">
        <is>
          <t>←</t>
        </is>
      </c>
      <c r="O48" s="857" t="inlineStr">
        <is>
          <t>【塾】古文上達 復習</t>
        </is>
      </c>
      <c r="P48" s="857" t="inlineStr">
        <is>
          <t>←</t>
        </is>
      </c>
      <c r="Q48" s="857" t="inlineStr">
        <is>
          <t>【塾】共通テスト・志望校過去問（古文）</t>
        </is>
      </c>
      <c r="R48" s="857" t="inlineStr">
        <is>
          <t>←</t>
        </is>
      </c>
      <c r="S48" s="857" t="inlineStr">
        <is>
          <t>←</t>
        </is>
      </c>
      <c r="T48" s="857" t="inlineStr">
        <is>
          <t>←</t>
        </is>
      </c>
      <c r="U48" s="857" t="n"/>
      <c r="V48" s="857" t="n"/>
    </row>
    <row r="49">
      <c r="A49" s="857" t="inlineStr">
        <is>
          <t>国立文系|古文|難関|家</t>
        </is>
      </c>
      <c r="B49" s="857" t="inlineStr">
        <is>
          <t>国立文系</t>
        </is>
      </c>
      <c r="C49" s="857" t="inlineStr">
        <is>
          <t>古文</t>
        </is>
      </c>
      <c r="D49" s="857" t="inlineStr">
        <is>
          <t>難関</t>
        </is>
      </c>
      <c r="E49" s="857" t="inlineStr">
        <is>
          <t>家</t>
        </is>
      </c>
      <c r="F49" s="857" t="inlineStr">
        <is>
          <t>【家】重要古文単語315（1周目）</t>
        </is>
      </c>
      <c r="G49" s="857" t="inlineStr">
        <is>
          <t>←</t>
        </is>
      </c>
      <c r="H49" s="857" t="inlineStr">
        <is>
          <t>←</t>
        </is>
      </c>
      <c r="I49" s="857" t="inlineStr">
        <is>
          <t>←</t>
        </is>
      </c>
      <c r="J49" s="857" t="inlineStr">
        <is>
          <t>←</t>
        </is>
      </c>
      <c r="K49" s="857" t="inlineStr">
        <is>
          <t>←</t>
        </is>
      </c>
      <c r="L49" s="857" t="inlineStr">
        <is>
          <t>←</t>
        </is>
      </c>
      <c r="M49" s="857" t="inlineStr">
        <is>
          <t>【家】重要古文単語315（毎日復習）</t>
        </is>
      </c>
      <c r="N49" s="857" t="inlineStr">
        <is>
          <t>←</t>
        </is>
      </c>
      <c r="O49" s="857" t="inlineStr">
        <is>
          <t>←</t>
        </is>
      </c>
      <c r="P49" s="857" t="inlineStr">
        <is>
          <t>←</t>
        </is>
      </c>
      <c r="Q49" s="857" t="inlineStr">
        <is>
          <t>【家】重要古文単語315（毎日復習・10周）</t>
        </is>
      </c>
      <c r="R49" s="857" t="inlineStr">
        <is>
          <t>←</t>
        </is>
      </c>
      <c r="S49" s="857" t="inlineStr">
        <is>
          <t>←</t>
        </is>
      </c>
      <c r="T49" s="857" t="inlineStr">
        <is>
          <t>←</t>
        </is>
      </c>
      <c r="U49" s="857" t="inlineStr">
        <is>
          <t>←</t>
        </is>
      </c>
      <c r="V49" s="857" t="inlineStr">
        <is>
          <t>←</t>
        </is>
      </c>
    </row>
    <row r="50">
      <c r="A50" s="856" t="inlineStr">
        <is>
          <t>国立文系|漢文|基礎|講座</t>
        </is>
      </c>
      <c r="B50" s="856" t="inlineStr">
        <is>
          <t>国立文系</t>
        </is>
      </c>
      <c r="C50" s="856" t="inlineStr">
        <is>
          <t>漢文</t>
        </is>
      </c>
      <c r="D50" s="856" t="inlineStr">
        <is>
          <t>基礎</t>
        </is>
      </c>
      <c r="E50" s="856" t="inlineStr">
        <is>
          <t>講座</t>
        </is>
      </c>
      <c r="F50" s="856" t="n"/>
      <c r="G50" s="856" t="inlineStr">
        <is>
          <t>基礎漢文（句法）</t>
        </is>
      </c>
      <c r="H50" s="856" t="inlineStr">
        <is>
          <t>←</t>
        </is>
      </c>
      <c r="I50" s="856" t="inlineStr">
        <is>
          <t>←</t>
        </is>
      </c>
      <c r="J50" s="856" t="inlineStr">
        <is>
          <t>←</t>
        </is>
      </c>
      <c r="K50" s="856" t="inlineStr">
        <is>
          <t>←</t>
        </is>
      </c>
      <c r="L50" s="856" t="inlineStr">
        <is>
          <t>←</t>
        </is>
      </c>
      <c r="M50" s="856" t="inlineStr">
        <is>
          <t>←</t>
        </is>
      </c>
      <c r="N50" s="856" t="inlineStr">
        <is>
          <t>←</t>
        </is>
      </c>
      <c r="O50" s="856" t="n"/>
      <c r="P50" s="856" t="n"/>
      <c r="Q50" s="856" t="inlineStr">
        <is>
          <t>基礎漢文（句法）</t>
        </is>
      </c>
      <c r="R50" s="856" t="inlineStr">
        <is>
          <t>←</t>
        </is>
      </c>
      <c r="S50" s="856" t="inlineStr">
        <is>
          <t>←</t>
        </is>
      </c>
      <c r="T50" s="856" t="inlineStr">
        <is>
          <t>←</t>
        </is>
      </c>
      <c r="U50" s="856" t="n"/>
      <c r="V50" s="856" t="n"/>
    </row>
    <row r="51">
      <c r="A51" s="857" t="inlineStr">
        <is>
          <t>国立文系|漢文|基礎|回</t>
        </is>
      </c>
      <c r="B51" s="857" t="inlineStr">
        <is>
          <t>国立文系</t>
        </is>
      </c>
      <c r="C51" s="857" t="inlineStr">
        <is>
          <t>漢文</t>
        </is>
      </c>
      <c r="D51" s="857" t="inlineStr">
        <is>
          <t>基礎</t>
        </is>
      </c>
      <c r="E51" s="857" t="inlineStr">
        <is>
          <t>回</t>
        </is>
      </c>
      <c r="F51" s="857" t="n"/>
      <c r="G51" s="857" t="inlineStr">
        <is>
          <t>練成1</t>
        </is>
      </c>
      <c r="H51" s="857" t="inlineStr">
        <is>
          <t>※</t>
        </is>
      </c>
      <c r="I51" s="857" t="inlineStr">
        <is>
          <t>※</t>
        </is>
      </c>
      <c r="J51" s="857" t="inlineStr">
        <is>
          <t>※</t>
        </is>
      </c>
      <c r="K51" s="857" t="inlineStr">
        <is>
          <t>※</t>
        </is>
      </c>
      <c r="L51" s="857" t="inlineStr">
        <is>
          <t>※</t>
        </is>
      </c>
      <c r="M51" s="857" t="inlineStr">
        <is>
          <t>※</t>
        </is>
      </c>
      <c r="N51" s="857" t="inlineStr">
        <is>
          <t>※</t>
        </is>
      </c>
      <c r="O51" s="857" t="n"/>
      <c r="P51" s="857" t="n"/>
      <c r="Q51" s="857" t="inlineStr">
        <is>
          <t>実戦1</t>
        </is>
      </c>
      <c r="R51" s="857" t="inlineStr">
        <is>
          <t>※</t>
        </is>
      </c>
      <c r="S51" s="857" t="inlineStr">
        <is>
          <t>※</t>
        </is>
      </c>
      <c r="T51" s="857" t="inlineStr">
        <is>
          <t>※</t>
        </is>
      </c>
      <c r="U51" s="857" t="n"/>
      <c r="V51" s="857" t="n"/>
    </row>
    <row r="52">
      <c r="A52" s="857" t="inlineStr">
        <is>
          <t>国立文系|漢文|基礎|塾</t>
        </is>
      </c>
      <c r="B52" s="857" t="inlineStr">
        <is>
          <t>国立文系</t>
        </is>
      </c>
      <c r="C52" s="857" t="inlineStr">
        <is>
          <t>漢文</t>
        </is>
      </c>
      <c r="D52" s="857" t="inlineStr">
        <is>
          <t>基礎</t>
        </is>
      </c>
      <c r="E52" s="857" t="inlineStr">
        <is>
          <t>塾</t>
        </is>
      </c>
      <c r="F52" s="857" t="inlineStr">
        <is>
          <t>【塾】漢文早覚え速答法</t>
        </is>
      </c>
      <c r="G52" s="857" t="inlineStr">
        <is>
          <t>←</t>
        </is>
      </c>
      <c r="H52" s="857" t="inlineStr">
        <is>
          <t>←</t>
        </is>
      </c>
      <c r="I52" s="857" t="inlineStr">
        <is>
          <t>←</t>
        </is>
      </c>
      <c r="J52" s="857" t="n"/>
      <c r="K52" s="857" t="n"/>
      <c r="L52" s="857" t="n"/>
      <c r="M52" s="857" t="n"/>
      <c r="N52" s="857" t="n"/>
      <c r="O52" s="857" t="n"/>
      <c r="P52" s="857" t="n"/>
      <c r="Q52" s="857" t="inlineStr">
        <is>
          <t>【塾】共通テスト・志望校過去問（漢文）</t>
        </is>
      </c>
      <c r="R52" s="857" t="inlineStr">
        <is>
          <t>←</t>
        </is>
      </c>
      <c r="S52" s="857" t="inlineStr">
        <is>
          <t>←</t>
        </is>
      </c>
      <c r="T52" s="857" t="inlineStr">
        <is>
          <t>←</t>
        </is>
      </c>
      <c r="U52" s="857" t="inlineStr">
        <is>
          <t>←</t>
        </is>
      </c>
      <c r="V52" s="857" t="inlineStr">
        <is>
          <t>←</t>
        </is>
      </c>
    </row>
    <row r="53">
      <c r="A53" s="857" t="inlineStr">
        <is>
          <t>国立文系|漢文|基礎|家</t>
        </is>
      </c>
      <c r="B53" s="857" t="inlineStr">
        <is>
          <t>国立文系</t>
        </is>
      </c>
      <c r="C53" s="857" t="inlineStr">
        <is>
          <t>漢文</t>
        </is>
      </c>
      <c r="D53" s="857" t="inlineStr">
        <is>
          <t>基礎</t>
        </is>
      </c>
      <c r="E53" s="857" t="inlineStr">
        <is>
          <t>家</t>
        </is>
      </c>
      <c r="F53" s="857" t="n"/>
      <c r="G53" s="857" t="n"/>
      <c r="H53" s="857" t="n"/>
      <c r="I53" s="857" t="n"/>
      <c r="J53" s="857" t="inlineStr">
        <is>
          <t>【家】漢文早覚え速答法（句法の復習）</t>
        </is>
      </c>
      <c r="K53" s="857" t="inlineStr">
        <is>
          <t>←</t>
        </is>
      </c>
      <c r="L53" s="857" t="inlineStr">
        <is>
          <t>←</t>
        </is>
      </c>
      <c r="M53" s="857" t="inlineStr">
        <is>
          <t>←</t>
        </is>
      </c>
      <c r="N53" s="857" t="inlineStr">
        <is>
          <t>←</t>
        </is>
      </c>
      <c r="O53" s="857" t="inlineStr">
        <is>
          <t>←</t>
        </is>
      </c>
      <c r="P53" s="857" t="inlineStr">
        <is>
          <t>←</t>
        </is>
      </c>
      <c r="Q53" s="857" t="n"/>
      <c r="R53" s="857" t="n"/>
      <c r="S53" s="857" t="n"/>
      <c r="T53" s="857" t="n"/>
      <c r="U53" s="857" t="n"/>
      <c r="V53" s="857" t="n"/>
    </row>
    <row r="54">
      <c r="A54" s="856" t="inlineStr">
        <is>
          <t>国立文系|漢文|標準|講座</t>
        </is>
      </c>
      <c r="B54" s="856" t="inlineStr">
        <is>
          <t>国立文系</t>
        </is>
      </c>
      <c r="C54" s="856" t="inlineStr">
        <is>
          <t>漢文</t>
        </is>
      </c>
      <c r="D54" s="856" t="inlineStr">
        <is>
          <t>標準</t>
        </is>
      </c>
      <c r="E54" s="856" t="inlineStr">
        <is>
          <t>講座</t>
        </is>
      </c>
      <c r="F54" s="856" t="n"/>
      <c r="G54" s="856" t="inlineStr">
        <is>
          <t>基礎漢文（句法）</t>
        </is>
      </c>
      <c r="H54" s="856" t="inlineStr">
        <is>
          <t>←</t>
        </is>
      </c>
      <c r="I54" s="856" t="inlineStr">
        <is>
          <t>←</t>
        </is>
      </c>
      <c r="J54" s="856" t="inlineStr">
        <is>
          <t>←</t>
        </is>
      </c>
      <c r="K54" s="856" t="inlineStr">
        <is>
          <t>←</t>
        </is>
      </c>
      <c r="L54" s="856" t="inlineStr">
        <is>
          <t>←</t>
        </is>
      </c>
      <c r="M54" s="856" t="inlineStr">
        <is>
          <t>←</t>
        </is>
      </c>
      <c r="N54" s="856" t="inlineStr">
        <is>
          <t>←</t>
        </is>
      </c>
      <c r="O54" s="856" t="n"/>
      <c r="P54" s="856" t="n"/>
      <c r="Q54" s="856" t="inlineStr">
        <is>
          <t>基礎漢文（句法）</t>
        </is>
      </c>
      <c r="R54" s="856" t="inlineStr">
        <is>
          <t>←</t>
        </is>
      </c>
      <c r="S54" s="856" t="inlineStr">
        <is>
          <t>←</t>
        </is>
      </c>
      <c r="T54" s="856" t="inlineStr">
        <is>
          <t>←</t>
        </is>
      </c>
      <c r="U54" s="856" t="n"/>
      <c r="V54" s="856" t="n"/>
    </row>
    <row r="55">
      <c r="A55" s="857" t="inlineStr">
        <is>
          <t>国立文系|漢文|標準|回</t>
        </is>
      </c>
      <c r="B55" s="857" t="inlineStr">
        <is>
          <t>国立文系</t>
        </is>
      </c>
      <c r="C55" s="857" t="inlineStr">
        <is>
          <t>漢文</t>
        </is>
      </c>
      <c r="D55" s="857" t="inlineStr">
        <is>
          <t>標準</t>
        </is>
      </c>
      <c r="E55" s="857" t="inlineStr">
        <is>
          <t>回</t>
        </is>
      </c>
      <c r="F55" s="857" t="n"/>
      <c r="G55" s="857" t="inlineStr">
        <is>
          <t>練成1</t>
        </is>
      </c>
      <c r="H55" s="857" t="inlineStr">
        <is>
          <t>※</t>
        </is>
      </c>
      <c r="I55" s="857" t="inlineStr">
        <is>
          <t>※</t>
        </is>
      </c>
      <c r="J55" s="857" t="inlineStr">
        <is>
          <t>※</t>
        </is>
      </c>
      <c r="K55" s="857" t="inlineStr">
        <is>
          <t>※</t>
        </is>
      </c>
      <c r="L55" s="857" t="inlineStr">
        <is>
          <t>※</t>
        </is>
      </c>
      <c r="M55" s="857" t="inlineStr">
        <is>
          <t>※</t>
        </is>
      </c>
      <c r="N55" s="857" t="inlineStr">
        <is>
          <t>※</t>
        </is>
      </c>
      <c r="O55" s="857" t="n"/>
      <c r="P55" s="857" t="n"/>
      <c r="Q55" s="857" t="inlineStr">
        <is>
          <t>実戦1</t>
        </is>
      </c>
      <c r="R55" s="857" t="inlineStr">
        <is>
          <t>※</t>
        </is>
      </c>
      <c r="S55" s="857" t="inlineStr">
        <is>
          <t>※</t>
        </is>
      </c>
      <c r="T55" s="857" t="inlineStr">
        <is>
          <t>※</t>
        </is>
      </c>
      <c r="U55" s="857" t="n"/>
      <c r="V55" s="857" t="n"/>
    </row>
    <row r="56">
      <c r="A56" s="857" t="inlineStr">
        <is>
          <t>国立文系|漢文|標準|塾</t>
        </is>
      </c>
      <c r="B56" s="857" t="inlineStr">
        <is>
          <t>国立文系</t>
        </is>
      </c>
      <c r="C56" s="857" t="inlineStr">
        <is>
          <t>漢文</t>
        </is>
      </c>
      <c r="D56" s="857" t="inlineStr">
        <is>
          <t>標準</t>
        </is>
      </c>
      <c r="E56" s="857" t="inlineStr">
        <is>
          <t>塾</t>
        </is>
      </c>
      <c r="F56" s="857" t="inlineStr">
        <is>
          <t>【塾】漢文早覚え速答法</t>
        </is>
      </c>
      <c r="G56" s="857" t="inlineStr">
        <is>
          <t>←</t>
        </is>
      </c>
      <c r="H56" s="857" t="inlineStr">
        <is>
          <t>←</t>
        </is>
      </c>
      <c r="I56" s="857" t="inlineStr">
        <is>
          <t>←</t>
        </is>
      </c>
      <c r="J56" s="857" t="n"/>
      <c r="K56" s="857" t="n"/>
      <c r="L56" s="857" t="n"/>
      <c r="M56" s="857" t="n"/>
      <c r="N56" s="857" t="n"/>
      <c r="O56" s="857" t="n"/>
      <c r="P56" s="857" t="n"/>
      <c r="Q56" s="857" t="inlineStr">
        <is>
          <t>【塾】共通テスト・志望校過去問（漢文）</t>
        </is>
      </c>
      <c r="R56" s="857" t="inlineStr">
        <is>
          <t>←</t>
        </is>
      </c>
      <c r="S56" s="857" t="inlineStr">
        <is>
          <t>←</t>
        </is>
      </c>
      <c r="T56" s="857" t="inlineStr">
        <is>
          <t>←</t>
        </is>
      </c>
      <c r="U56" s="857" t="inlineStr">
        <is>
          <t>←</t>
        </is>
      </c>
      <c r="V56" s="857" t="inlineStr">
        <is>
          <t>←</t>
        </is>
      </c>
    </row>
    <row r="57">
      <c r="A57" s="857" t="inlineStr">
        <is>
          <t>国立文系|漢文|標準|家</t>
        </is>
      </c>
      <c r="B57" s="857" t="inlineStr">
        <is>
          <t>国立文系</t>
        </is>
      </c>
      <c r="C57" s="857" t="inlineStr">
        <is>
          <t>漢文</t>
        </is>
      </c>
      <c r="D57" s="857" t="inlineStr">
        <is>
          <t>標準</t>
        </is>
      </c>
      <c r="E57" s="857" t="inlineStr">
        <is>
          <t>家</t>
        </is>
      </c>
      <c r="F57" s="857" t="n"/>
      <c r="G57" s="857" t="n"/>
      <c r="H57" s="857" t="n"/>
      <c r="I57" s="857" t="n"/>
      <c r="J57" s="857" t="inlineStr">
        <is>
          <t>【家】漢文早覚え速答法（句法の復習）</t>
        </is>
      </c>
      <c r="K57" s="857" t="inlineStr">
        <is>
          <t>←</t>
        </is>
      </c>
      <c r="L57" s="857" t="inlineStr">
        <is>
          <t>←</t>
        </is>
      </c>
      <c r="M57" s="857" t="inlineStr">
        <is>
          <t>←</t>
        </is>
      </c>
      <c r="N57" s="857" t="inlineStr">
        <is>
          <t>←</t>
        </is>
      </c>
      <c r="O57" s="857" t="inlineStr">
        <is>
          <t>←</t>
        </is>
      </c>
      <c r="P57" s="857" t="inlineStr">
        <is>
          <t>←</t>
        </is>
      </c>
      <c r="Q57" s="857" t="n"/>
      <c r="R57" s="857" t="n"/>
      <c r="S57" s="857" t="n"/>
      <c r="T57" s="857" t="n"/>
      <c r="U57" s="857" t="n"/>
      <c r="V57" s="857" t="n"/>
    </row>
    <row r="58">
      <c r="A58" s="856" t="inlineStr">
        <is>
          <t>国立文系|漢文|難関|講座</t>
        </is>
      </c>
      <c r="B58" s="856" t="inlineStr">
        <is>
          <t>国立文系</t>
        </is>
      </c>
      <c r="C58" s="856" t="inlineStr">
        <is>
          <t>漢文</t>
        </is>
      </c>
      <c r="D58" s="856" t="inlineStr">
        <is>
          <t>難関</t>
        </is>
      </c>
      <c r="E58" s="856" t="inlineStr">
        <is>
          <t>講座</t>
        </is>
      </c>
      <c r="F58" s="856" t="n"/>
      <c r="G58" s="856" t="inlineStr">
        <is>
          <t>G3LK　難関大漢文</t>
        </is>
      </c>
      <c r="H58" s="856" t="inlineStr">
        <is>
          <t>←</t>
        </is>
      </c>
      <c r="I58" s="856" t="inlineStr">
        <is>
          <t>←</t>
        </is>
      </c>
      <c r="J58" s="856" t="inlineStr">
        <is>
          <t>←</t>
        </is>
      </c>
      <c r="K58" s="856" t="inlineStr">
        <is>
          <t>←</t>
        </is>
      </c>
      <c r="L58" s="856" t="inlineStr">
        <is>
          <t>←</t>
        </is>
      </c>
      <c r="M58" s="856" t="inlineStr">
        <is>
          <t>←</t>
        </is>
      </c>
      <c r="N58" s="856" t="inlineStr">
        <is>
          <t>←</t>
        </is>
      </c>
      <c r="O58" s="856" t="n"/>
      <c r="P58" s="856" t="n"/>
      <c r="Q58" s="856" t="inlineStr">
        <is>
          <t>G3LK　難関大漢文</t>
        </is>
      </c>
      <c r="R58" s="856" t="inlineStr">
        <is>
          <t>←</t>
        </is>
      </c>
      <c r="S58" s="856" t="inlineStr">
        <is>
          <t>←</t>
        </is>
      </c>
      <c r="T58" s="856" t="inlineStr">
        <is>
          <t>←</t>
        </is>
      </c>
      <c r="U58" s="856" t="n"/>
      <c r="V58" s="856" t="n"/>
    </row>
    <row r="59">
      <c r="A59" s="857" t="inlineStr">
        <is>
          <t>国立文系|漢文|難関|回</t>
        </is>
      </c>
      <c r="B59" s="857" t="inlineStr">
        <is>
          <t>国立文系</t>
        </is>
      </c>
      <c r="C59" s="857" t="inlineStr">
        <is>
          <t>漢文</t>
        </is>
      </c>
      <c r="D59" s="857" t="inlineStr">
        <is>
          <t>難関</t>
        </is>
      </c>
      <c r="E59" s="857" t="inlineStr">
        <is>
          <t>回</t>
        </is>
      </c>
      <c r="F59" s="857" t="n"/>
      <c r="G59" s="857" t="inlineStr">
        <is>
          <t>練成1</t>
        </is>
      </c>
      <c r="H59" s="857" t="inlineStr">
        <is>
          <t>※</t>
        </is>
      </c>
      <c r="I59" s="857" t="inlineStr">
        <is>
          <t>※</t>
        </is>
      </c>
      <c r="J59" s="857" t="inlineStr">
        <is>
          <t>※</t>
        </is>
      </c>
      <c r="K59" s="857" t="inlineStr">
        <is>
          <t>※</t>
        </is>
      </c>
      <c r="L59" s="857" t="inlineStr">
        <is>
          <t>※</t>
        </is>
      </c>
      <c r="M59" s="857" t="inlineStr">
        <is>
          <t>※</t>
        </is>
      </c>
      <c r="N59" s="857" t="inlineStr">
        <is>
          <t>※</t>
        </is>
      </c>
      <c r="O59" s="857" t="n"/>
      <c r="P59" s="857" t="n"/>
      <c r="Q59" s="857" t="inlineStr">
        <is>
          <t>実戦1</t>
        </is>
      </c>
      <c r="R59" s="857" t="inlineStr">
        <is>
          <t>※</t>
        </is>
      </c>
      <c r="S59" s="857" t="inlineStr">
        <is>
          <t>※</t>
        </is>
      </c>
      <c r="T59" s="857" t="inlineStr">
        <is>
          <t>※</t>
        </is>
      </c>
      <c r="U59" s="857" t="n"/>
      <c r="V59" s="857" t="n"/>
    </row>
    <row r="60">
      <c r="A60" s="857" t="inlineStr">
        <is>
          <t>国立文系|漢文|難関|塾</t>
        </is>
      </c>
      <c r="B60" s="857" t="inlineStr">
        <is>
          <t>国立文系</t>
        </is>
      </c>
      <c r="C60" s="857" t="inlineStr">
        <is>
          <t>漢文</t>
        </is>
      </c>
      <c r="D60" s="857" t="inlineStr">
        <is>
          <t>難関</t>
        </is>
      </c>
      <c r="E60" s="857" t="inlineStr">
        <is>
          <t>塾</t>
        </is>
      </c>
      <c r="F60" s="857" t="inlineStr">
        <is>
          <t>【塾】漢文早覚え速答法</t>
        </is>
      </c>
      <c r="G60" s="857" t="inlineStr">
        <is>
          <t>←</t>
        </is>
      </c>
      <c r="H60" s="857" t="inlineStr">
        <is>
          <t>←</t>
        </is>
      </c>
      <c r="I60" s="857" t="inlineStr">
        <is>
          <t>←</t>
        </is>
      </c>
      <c r="J60" s="857" t="n"/>
      <c r="K60" s="857" t="n"/>
      <c r="L60" s="857" t="n"/>
      <c r="M60" s="857" t="n"/>
      <c r="N60" s="857" t="n"/>
      <c r="O60" s="857" t="n"/>
      <c r="P60" s="857" t="n"/>
      <c r="Q60" s="857" t="inlineStr">
        <is>
          <t>【塾】共通テスト・志望校過去問（漢文）</t>
        </is>
      </c>
      <c r="R60" s="857" t="inlineStr">
        <is>
          <t>←</t>
        </is>
      </c>
      <c r="S60" s="857" t="inlineStr">
        <is>
          <t>←</t>
        </is>
      </c>
      <c r="T60" s="857" t="inlineStr">
        <is>
          <t>←</t>
        </is>
      </c>
      <c r="U60" s="857" t="inlineStr">
        <is>
          <t>←</t>
        </is>
      </c>
      <c r="V60" s="857" t="inlineStr">
        <is>
          <t>←</t>
        </is>
      </c>
    </row>
    <row r="61">
      <c r="A61" s="857" t="inlineStr">
        <is>
          <t>国立文系|漢文|難関|家</t>
        </is>
      </c>
      <c r="B61" s="857" t="inlineStr">
        <is>
          <t>国立文系</t>
        </is>
      </c>
      <c r="C61" s="857" t="inlineStr">
        <is>
          <t>漢文</t>
        </is>
      </c>
      <c r="D61" s="857" t="inlineStr">
        <is>
          <t>難関</t>
        </is>
      </c>
      <c r="E61" s="857" t="inlineStr">
        <is>
          <t>家</t>
        </is>
      </c>
      <c r="F61" s="857" t="n"/>
      <c r="G61" s="857" t="n"/>
      <c r="H61" s="857" t="n"/>
      <c r="I61" s="857" t="n"/>
      <c r="J61" s="857" t="inlineStr">
        <is>
          <t>【家】漢文早覚え速答法（句法の復習）</t>
        </is>
      </c>
      <c r="K61" s="857" t="inlineStr">
        <is>
          <t>←</t>
        </is>
      </c>
      <c r="L61" s="857" t="inlineStr">
        <is>
          <t>←</t>
        </is>
      </c>
      <c r="M61" s="857" t="inlineStr">
        <is>
          <t>←</t>
        </is>
      </c>
      <c r="N61" s="857" t="inlineStr">
        <is>
          <t>←</t>
        </is>
      </c>
      <c r="O61" s="857" t="inlineStr">
        <is>
          <t>←</t>
        </is>
      </c>
      <c r="P61" s="857" t="inlineStr">
        <is>
          <t>←</t>
        </is>
      </c>
      <c r="Q61" s="857" t="n"/>
      <c r="R61" s="857" t="n"/>
      <c r="S61" s="857" t="n"/>
      <c r="T61" s="857" t="n"/>
      <c r="U61" s="857" t="n"/>
      <c r="V61" s="857" t="n"/>
    </row>
    <row r="62">
      <c r="A62" s="856" t="inlineStr">
        <is>
          <t>国立文系|日本史|基礎|講座</t>
        </is>
      </c>
      <c r="B62" s="856" t="inlineStr">
        <is>
          <t>国立文系</t>
        </is>
      </c>
      <c r="C62" s="856" t="inlineStr">
        <is>
          <t>日本史</t>
        </is>
      </c>
      <c r="D62" s="856" t="inlineStr">
        <is>
          <t>基礎</t>
        </is>
      </c>
      <c r="E62" s="856" t="inlineStr">
        <is>
          <t>講座</t>
        </is>
      </c>
      <c r="F62" s="856" t="n"/>
      <c r="G62" s="856" t="inlineStr">
        <is>
          <t>標準日本史（通史）</t>
        </is>
      </c>
      <c r="H62" s="856" t="inlineStr">
        <is>
          <t>←</t>
        </is>
      </c>
      <c r="I62" s="856" t="inlineStr">
        <is>
          <t>←</t>
        </is>
      </c>
      <c r="J62" s="856" t="inlineStr">
        <is>
          <t>←</t>
        </is>
      </c>
      <c r="K62" s="856" t="inlineStr">
        <is>
          <t>←</t>
        </is>
      </c>
      <c r="L62" s="856" t="inlineStr">
        <is>
          <t>←</t>
        </is>
      </c>
      <c r="M62" s="856" t="inlineStr">
        <is>
          <t>←</t>
        </is>
      </c>
      <c r="N62" s="856" t="inlineStr">
        <is>
          <t>←</t>
        </is>
      </c>
      <c r="O62" s="856" t="inlineStr">
        <is>
          <t>夏期講習</t>
        </is>
      </c>
      <c r="P62" s="856" t="inlineStr">
        <is>
          <t>←</t>
        </is>
      </c>
      <c r="Q62" s="856" t="inlineStr">
        <is>
          <t>標準日本史（通史）</t>
        </is>
      </c>
      <c r="R62" s="856" t="inlineStr">
        <is>
          <t>←</t>
        </is>
      </c>
      <c r="S62" s="856" t="inlineStr">
        <is>
          <t>←</t>
        </is>
      </c>
      <c r="T62" s="856" t="inlineStr">
        <is>
          <t>←</t>
        </is>
      </c>
      <c r="U62" s="856" t="inlineStr">
        <is>
          <t>直前講習</t>
        </is>
      </c>
      <c r="V62" s="856" t="inlineStr">
        <is>
          <t>←</t>
        </is>
      </c>
    </row>
    <row r="63">
      <c r="A63" s="857" t="inlineStr">
        <is>
          <t>国立文系|日本史|基礎|回</t>
        </is>
      </c>
      <c r="B63" s="857" t="inlineStr">
        <is>
          <t>国立文系</t>
        </is>
      </c>
      <c r="C63" s="857" t="inlineStr">
        <is>
          <t>日本史</t>
        </is>
      </c>
      <c r="D63" s="857" t="inlineStr">
        <is>
          <t>基礎</t>
        </is>
      </c>
      <c r="E63" s="857" t="inlineStr">
        <is>
          <t>回</t>
        </is>
      </c>
      <c r="F63" s="857" t="n"/>
      <c r="G63" s="857" t="inlineStr">
        <is>
          <t>練成1</t>
        </is>
      </c>
      <c r="H63" s="857" t="inlineStr">
        <is>
          <t>練成2</t>
        </is>
      </c>
      <c r="I63" s="857" t="inlineStr">
        <is>
          <t>練成3</t>
        </is>
      </c>
      <c r="J63" s="857" t="inlineStr">
        <is>
          <t>練成4</t>
        </is>
      </c>
      <c r="K63" s="857" t="inlineStr">
        <is>
          <t>練成5</t>
        </is>
      </c>
      <c r="L63" s="857" t="inlineStr">
        <is>
          <t>練成6</t>
        </is>
      </c>
      <c r="M63" s="857" t="inlineStr">
        <is>
          <t>練成7</t>
        </is>
      </c>
      <c r="N63" s="857" t="inlineStr">
        <is>
          <t>練成8</t>
        </is>
      </c>
      <c r="O63" s="857" t="inlineStr">
        <is>
          <t>夏期1</t>
        </is>
      </c>
      <c r="P63" s="857" t="inlineStr">
        <is>
          <t>夏期2</t>
        </is>
      </c>
      <c r="Q63" s="857" t="inlineStr">
        <is>
          <t>実戦1</t>
        </is>
      </c>
      <c r="R63" s="857" t="inlineStr">
        <is>
          <t>実戦2</t>
        </is>
      </c>
      <c r="S63" s="857" t="inlineStr">
        <is>
          <t>実戦3</t>
        </is>
      </c>
      <c r="T63" s="857" t="inlineStr">
        <is>
          <t>実戦4</t>
        </is>
      </c>
      <c r="U63" s="857" t="inlineStr">
        <is>
          <t>直前1</t>
        </is>
      </c>
      <c r="V63" s="857" t="inlineStr">
        <is>
          <t>※</t>
        </is>
      </c>
    </row>
    <row r="64">
      <c r="A64" s="857" t="inlineStr">
        <is>
          <t>国立文系|日本史|基礎|塾</t>
        </is>
      </c>
      <c r="B64" s="857" t="inlineStr">
        <is>
          <t>国立文系</t>
        </is>
      </c>
      <c r="C64" s="857" t="inlineStr">
        <is>
          <t>日本史</t>
        </is>
      </c>
      <c r="D64" s="857" t="inlineStr">
        <is>
          <t>基礎</t>
        </is>
      </c>
      <c r="E64" s="857" t="inlineStr">
        <is>
          <t>塾</t>
        </is>
      </c>
      <c r="F64" s="857" t="inlineStr">
        <is>
          <t>（塾の授業教材は英語・数学・国語のみ）</t>
        </is>
      </c>
      <c r="G64" s="857" t="inlineStr">
        <is>
          <t>←</t>
        </is>
      </c>
      <c r="H64" s="857" t="inlineStr">
        <is>
          <t>←</t>
        </is>
      </c>
      <c r="I64" s="857" t="inlineStr">
        <is>
          <t>←</t>
        </is>
      </c>
      <c r="J64" s="857" t="inlineStr">
        <is>
          <t>←</t>
        </is>
      </c>
      <c r="K64" s="857" t="inlineStr">
        <is>
          <t>←</t>
        </is>
      </c>
      <c r="L64" s="857" t="inlineStr">
        <is>
          <t>←</t>
        </is>
      </c>
      <c r="M64" s="857" t="inlineStr">
        <is>
          <t>←</t>
        </is>
      </c>
      <c r="N64" s="857" t="inlineStr">
        <is>
          <t>←</t>
        </is>
      </c>
      <c r="O64" s="857" t="inlineStr">
        <is>
          <t>←</t>
        </is>
      </c>
      <c r="P64" s="857" t="inlineStr">
        <is>
          <t>←</t>
        </is>
      </c>
      <c r="Q64" s="857" t="inlineStr">
        <is>
          <t>（塾の授業教材は英語・数学・国語のみ）</t>
        </is>
      </c>
      <c r="R64" s="857" t="inlineStr">
        <is>
          <t>←</t>
        </is>
      </c>
      <c r="S64" s="857" t="inlineStr">
        <is>
          <t>←</t>
        </is>
      </c>
      <c r="T64" s="857" t="inlineStr">
        <is>
          <t>←</t>
        </is>
      </c>
      <c r="U64" s="857" t="inlineStr">
        <is>
          <t>←</t>
        </is>
      </c>
      <c r="V64" s="857" t="inlineStr">
        <is>
          <t>←</t>
        </is>
      </c>
    </row>
    <row r="65">
      <c r="A65" s="857" t="inlineStr">
        <is>
          <t>国立文系|日本史|基礎|家</t>
        </is>
      </c>
      <c r="B65" s="857" t="inlineStr">
        <is>
          <t>国立文系</t>
        </is>
      </c>
      <c r="C65" s="857" t="inlineStr">
        <is>
          <t>日本史</t>
        </is>
      </c>
      <c r="D65" s="857" t="inlineStr">
        <is>
          <t>基礎</t>
        </is>
      </c>
      <c r="E65" s="857" t="inlineStr">
        <is>
          <t>家</t>
        </is>
      </c>
      <c r="F65" s="857" t="inlineStr">
        <is>
          <t>【家】詳説日本史ノート（授業の復習）</t>
        </is>
      </c>
      <c r="G65" s="857" t="inlineStr">
        <is>
          <t>←</t>
        </is>
      </c>
      <c r="H65" s="857" t="inlineStr">
        <is>
          <t>←</t>
        </is>
      </c>
      <c r="I65" s="857" t="inlineStr">
        <is>
          <t>←</t>
        </is>
      </c>
      <c r="J65" s="857" t="inlineStr">
        <is>
          <t>←</t>
        </is>
      </c>
      <c r="K65" s="857" t="inlineStr">
        <is>
          <t>←</t>
        </is>
      </c>
      <c r="L65" s="857" t="inlineStr">
        <is>
          <t>←</t>
        </is>
      </c>
      <c r="M65" s="857" t="inlineStr">
        <is>
          <t>←</t>
        </is>
      </c>
      <c r="N65" s="857" t="inlineStr">
        <is>
          <t>←</t>
        </is>
      </c>
      <c r="O65" s="857" t="inlineStr">
        <is>
          <t>←</t>
        </is>
      </c>
      <c r="P65" s="857" t="inlineStr">
        <is>
          <t>←</t>
        </is>
      </c>
      <c r="Q65" s="857" t="inlineStr">
        <is>
          <t>【家】日本史一問一答【完全版】＋共通テスト過去問</t>
        </is>
      </c>
      <c r="R65" s="857" t="inlineStr">
        <is>
          <t>←</t>
        </is>
      </c>
      <c r="S65" s="857" t="inlineStr">
        <is>
          <t>←</t>
        </is>
      </c>
      <c r="T65" s="857" t="inlineStr">
        <is>
          <t>←</t>
        </is>
      </c>
      <c r="U65" s="857" t="inlineStr">
        <is>
          <t>【家】{志望校}過去問</t>
        </is>
      </c>
      <c r="V65" s="857" t="inlineStr">
        <is>
          <t>←</t>
        </is>
      </c>
    </row>
    <row r="66">
      <c r="A66" s="856" t="inlineStr">
        <is>
          <t>国立文系|日本史|標準|講座</t>
        </is>
      </c>
      <c r="B66" s="856" t="inlineStr">
        <is>
          <t>国立文系</t>
        </is>
      </c>
      <c r="C66" s="856" t="inlineStr">
        <is>
          <t>日本史</t>
        </is>
      </c>
      <c r="D66" s="856" t="inlineStr">
        <is>
          <t>標準</t>
        </is>
      </c>
      <c r="E66" s="856" t="inlineStr">
        <is>
          <t>講座</t>
        </is>
      </c>
      <c r="F66" s="856" t="n"/>
      <c r="G66" s="856" t="inlineStr">
        <is>
          <t>標準日本史（通史）</t>
        </is>
      </c>
      <c r="H66" s="856" t="inlineStr">
        <is>
          <t>←</t>
        </is>
      </c>
      <c r="I66" s="856" t="inlineStr">
        <is>
          <t>←</t>
        </is>
      </c>
      <c r="J66" s="856" t="inlineStr">
        <is>
          <t>←</t>
        </is>
      </c>
      <c r="K66" s="856" t="inlineStr">
        <is>
          <t>←</t>
        </is>
      </c>
      <c r="L66" s="856" t="inlineStr">
        <is>
          <t>←</t>
        </is>
      </c>
      <c r="M66" s="856" t="inlineStr">
        <is>
          <t>←</t>
        </is>
      </c>
      <c r="N66" s="856" t="inlineStr">
        <is>
          <t>←</t>
        </is>
      </c>
      <c r="O66" s="856" t="inlineStr">
        <is>
          <t>夏期講習</t>
        </is>
      </c>
      <c r="P66" s="856" t="inlineStr">
        <is>
          <t>←</t>
        </is>
      </c>
      <c r="Q66" s="856" t="inlineStr">
        <is>
          <t>標準日本史（通史）</t>
        </is>
      </c>
      <c r="R66" s="856" t="inlineStr">
        <is>
          <t>←</t>
        </is>
      </c>
      <c r="S66" s="856" t="inlineStr">
        <is>
          <t>←</t>
        </is>
      </c>
      <c r="T66" s="856" t="inlineStr">
        <is>
          <t>←</t>
        </is>
      </c>
      <c r="U66" s="856" t="inlineStr">
        <is>
          <t>直前講習</t>
        </is>
      </c>
      <c r="V66" s="856" t="inlineStr">
        <is>
          <t>←</t>
        </is>
      </c>
    </row>
    <row r="67">
      <c r="A67" s="857" t="inlineStr">
        <is>
          <t>国立文系|日本史|標準|回</t>
        </is>
      </c>
      <c r="B67" s="857" t="inlineStr">
        <is>
          <t>国立文系</t>
        </is>
      </c>
      <c r="C67" s="857" t="inlineStr">
        <is>
          <t>日本史</t>
        </is>
      </c>
      <c r="D67" s="857" t="inlineStr">
        <is>
          <t>標準</t>
        </is>
      </c>
      <c r="E67" s="857" t="inlineStr">
        <is>
          <t>回</t>
        </is>
      </c>
      <c r="F67" s="857" t="n"/>
      <c r="G67" s="857" t="inlineStr">
        <is>
          <t>練成1</t>
        </is>
      </c>
      <c r="H67" s="857" t="inlineStr">
        <is>
          <t>練成2</t>
        </is>
      </c>
      <c r="I67" s="857" t="inlineStr">
        <is>
          <t>練成3</t>
        </is>
      </c>
      <c r="J67" s="857" t="inlineStr">
        <is>
          <t>練成4</t>
        </is>
      </c>
      <c r="K67" s="857" t="inlineStr">
        <is>
          <t>練成5</t>
        </is>
      </c>
      <c r="L67" s="857" t="inlineStr">
        <is>
          <t>練成6</t>
        </is>
      </c>
      <c r="M67" s="857" t="inlineStr">
        <is>
          <t>練成7</t>
        </is>
      </c>
      <c r="N67" s="857" t="inlineStr">
        <is>
          <t>練成8</t>
        </is>
      </c>
      <c r="O67" s="857" t="inlineStr">
        <is>
          <t>夏期1</t>
        </is>
      </c>
      <c r="P67" s="857" t="inlineStr">
        <is>
          <t>夏期2</t>
        </is>
      </c>
      <c r="Q67" s="857" t="inlineStr">
        <is>
          <t>実戦1</t>
        </is>
      </c>
      <c r="R67" s="857" t="inlineStr">
        <is>
          <t>実戦2</t>
        </is>
      </c>
      <c r="S67" s="857" t="inlineStr">
        <is>
          <t>実戦3</t>
        </is>
      </c>
      <c r="T67" s="857" t="inlineStr">
        <is>
          <t>実戦4</t>
        </is>
      </c>
      <c r="U67" s="857" t="inlineStr">
        <is>
          <t>直前1</t>
        </is>
      </c>
      <c r="V67" s="857" t="inlineStr">
        <is>
          <t>※</t>
        </is>
      </c>
    </row>
    <row r="68">
      <c r="A68" s="857" t="inlineStr">
        <is>
          <t>国立文系|日本史|標準|塾</t>
        </is>
      </c>
      <c r="B68" s="857" t="inlineStr">
        <is>
          <t>国立文系</t>
        </is>
      </c>
      <c r="C68" s="857" t="inlineStr">
        <is>
          <t>日本史</t>
        </is>
      </c>
      <c r="D68" s="857" t="inlineStr">
        <is>
          <t>標準</t>
        </is>
      </c>
      <c r="E68" s="857" t="inlineStr">
        <is>
          <t>塾</t>
        </is>
      </c>
      <c r="F68" s="857" t="inlineStr">
        <is>
          <t>（塾の授業教材は英語・数学・国語のみ）</t>
        </is>
      </c>
      <c r="G68" s="857" t="inlineStr">
        <is>
          <t>←</t>
        </is>
      </c>
      <c r="H68" s="857" t="inlineStr">
        <is>
          <t>←</t>
        </is>
      </c>
      <c r="I68" s="857" t="inlineStr">
        <is>
          <t>←</t>
        </is>
      </c>
      <c r="J68" s="857" t="inlineStr">
        <is>
          <t>←</t>
        </is>
      </c>
      <c r="K68" s="857" t="inlineStr">
        <is>
          <t>←</t>
        </is>
      </c>
      <c r="L68" s="857" t="inlineStr">
        <is>
          <t>←</t>
        </is>
      </c>
      <c r="M68" s="857" t="inlineStr">
        <is>
          <t>←</t>
        </is>
      </c>
      <c r="N68" s="857" t="inlineStr">
        <is>
          <t>←</t>
        </is>
      </c>
      <c r="O68" s="857" t="inlineStr">
        <is>
          <t>←</t>
        </is>
      </c>
      <c r="P68" s="857" t="inlineStr">
        <is>
          <t>←</t>
        </is>
      </c>
      <c r="Q68" s="857" t="inlineStr">
        <is>
          <t>（塾の授業教材は英語・数学・国語のみ）</t>
        </is>
      </c>
      <c r="R68" s="857" t="inlineStr">
        <is>
          <t>←</t>
        </is>
      </c>
      <c r="S68" s="857" t="inlineStr">
        <is>
          <t>←</t>
        </is>
      </c>
      <c r="T68" s="857" t="inlineStr">
        <is>
          <t>←</t>
        </is>
      </c>
      <c r="U68" s="857" t="inlineStr">
        <is>
          <t>←</t>
        </is>
      </c>
      <c r="V68" s="857" t="inlineStr">
        <is>
          <t>←</t>
        </is>
      </c>
    </row>
    <row r="69">
      <c r="A69" s="857" t="inlineStr">
        <is>
          <t>国立文系|日本史|標準|家</t>
        </is>
      </c>
      <c r="B69" s="857" t="inlineStr">
        <is>
          <t>国立文系</t>
        </is>
      </c>
      <c r="C69" s="857" t="inlineStr">
        <is>
          <t>日本史</t>
        </is>
      </c>
      <c r="D69" s="857" t="inlineStr">
        <is>
          <t>標準</t>
        </is>
      </c>
      <c r="E69" s="857" t="inlineStr">
        <is>
          <t>家</t>
        </is>
      </c>
      <c r="F69" s="857" t="inlineStr">
        <is>
          <t>【家】日本史一問一答【完全版】（授業の復習・5周）</t>
        </is>
      </c>
      <c r="G69" s="857" t="inlineStr">
        <is>
          <t>←</t>
        </is>
      </c>
      <c r="H69" s="857" t="inlineStr">
        <is>
          <t>←</t>
        </is>
      </c>
      <c r="I69" s="857" t="inlineStr">
        <is>
          <t>←</t>
        </is>
      </c>
      <c r="J69" s="857" t="inlineStr">
        <is>
          <t>←</t>
        </is>
      </c>
      <c r="K69" s="857" t="inlineStr">
        <is>
          <t>←</t>
        </is>
      </c>
      <c r="L69" s="857" t="inlineStr">
        <is>
          <t>←</t>
        </is>
      </c>
      <c r="M69" s="857" t="inlineStr">
        <is>
          <t>←</t>
        </is>
      </c>
      <c r="N69" s="857" t="inlineStr">
        <is>
          <t>←</t>
        </is>
      </c>
      <c r="O69" s="857" t="inlineStr">
        <is>
          <t>←</t>
        </is>
      </c>
      <c r="P69" s="857" t="inlineStr">
        <is>
          <t>←</t>
        </is>
      </c>
      <c r="Q69" s="857" t="inlineStr">
        <is>
          <t>【家】日本史一問一答【完全版】＋共通テスト過去問</t>
        </is>
      </c>
      <c r="R69" s="857" t="inlineStr">
        <is>
          <t>←</t>
        </is>
      </c>
      <c r="S69" s="857" t="inlineStr">
        <is>
          <t>←</t>
        </is>
      </c>
      <c r="T69" s="857" t="inlineStr">
        <is>
          <t>←</t>
        </is>
      </c>
      <c r="U69" s="857" t="inlineStr">
        <is>
          <t>【家】{志望校}過去問</t>
        </is>
      </c>
      <c r="V69" s="857" t="inlineStr">
        <is>
          <t>←</t>
        </is>
      </c>
    </row>
    <row r="70">
      <c r="A70" s="856" t="inlineStr">
        <is>
          <t>国立文系|日本史|難関|講座</t>
        </is>
      </c>
      <c r="B70" s="856" t="inlineStr">
        <is>
          <t>国立文系</t>
        </is>
      </c>
      <c r="C70" s="856" t="inlineStr">
        <is>
          <t>日本史</t>
        </is>
      </c>
      <c r="D70" s="856" t="inlineStr">
        <is>
          <t>難関</t>
        </is>
      </c>
      <c r="E70" s="856" t="inlineStr">
        <is>
          <t>講座</t>
        </is>
      </c>
      <c r="F70" s="856" t="n"/>
      <c r="G70" s="856" t="inlineStr">
        <is>
          <t>G3J　難関大日本史</t>
        </is>
      </c>
      <c r="H70" s="856" t="inlineStr">
        <is>
          <t>←</t>
        </is>
      </c>
      <c r="I70" s="856" t="inlineStr">
        <is>
          <t>←</t>
        </is>
      </c>
      <c r="J70" s="856" t="inlineStr">
        <is>
          <t>←</t>
        </is>
      </c>
      <c r="K70" s="856" t="inlineStr">
        <is>
          <t>←</t>
        </is>
      </c>
      <c r="L70" s="856" t="inlineStr">
        <is>
          <t>←</t>
        </is>
      </c>
      <c r="M70" s="856" t="inlineStr">
        <is>
          <t>←</t>
        </is>
      </c>
      <c r="N70" s="856" t="inlineStr">
        <is>
          <t>←</t>
        </is>
      </c>
      <c r="O70" s="856" t="inlineStr">
        <is>
          <t>NG3J</t>
        </is>
      </c>
      <c r="P70" s="856" t="inlineStr">
        <is>
          <t>←</t>
        </is>
      </c>
      <c r="Q70" s="856" t="inlineStr">
        <is>
          <t>G3J　難関大日本史</t>
        </is>
      </c>
      <c r="R70" s="856" t="inlineStr">
        <is>
          <t>←</t>
        </is>
      </c>
      <c r="S70" s="856" t="inlineStr">
        <is>
          <t>←</t>
        </is>
      </c>
      <c r="T70" s="856" t="inlineStr">
        <is>
          <t>←</t>
        </is>
      </c>
      <c r="U70" s="856" t="inlineStr">
        <is>
          <t>FG3J</t>
        </is>
      </c>
      <c r="V70" s="856" t="inlineStr">
        <is>
          <t>←</t>
        </is>
      </c>
    </row>
    <row r="71">
      <c r="A71" s="857" t="inlineStr">
        <is>
          <t>国立文系|日本史|難関|回</t>
        </is>
      </c>
      <c r="B71" s="857" t="inlineStr">
        <is>
          <t>国立文系</t>
        </is>
      </c>
      <c r="C71" s="857" t="inlineStr">
        <is>
          <t>日本史</t>
        </is>
      </c>
      <c r="D71" s="857" t="inlineStr">
        <is>
          <t>難関</t>
        </is>
      </c>
      <c r="E71" s="857" t="inlineStr">
        <is>
          <t>回</t>
        </is>
      </c>
      <c r="F71" s="857" t="n"/>
      <c r="G71" s="857" t="inlineStr">
        <is>
          <t>練成1</t>
        </is>
      </c>
      <c r="H71" s="857" t="inlineStr">
        <is>
          <t>練成2</t>
        </is>
      </c>
      <c r="I71" s="857" t="inlineStr">
        <is>
          <t>練成3</t>
        </is>
      </c>
      <c r="J71" s="857" t="inlineStr">
        <is>
          <t>練成4</t>
        </is>
      </c>
      <c r="K71" s="857" t="inlineStr">
        <is>
          <t>練成5</t>
        </is>
      </c>
      <c r="L71" s="857" t="inlineStr">
        <is>
          <t>練成6</t>
        </is>
      </c>
      <c r="M71" s="857" t="inlineStr">
        <is>
          <t>練成7</t>
        </is>
      </c>
      <c r="N71" s="857" t="inlineStr">
        <is>
          <t>練成8</t>
        </is>
      </c>
      <c r="O71" s="857" t="inlineStr">
        <is>
          <t>夏期1</t>
        </is>
      </c>
      <c r="P71" s="857" t="inlineStr">
        <is>
          <t>夏期2</t>
        </is>
      </c>
      <c r="Q71" s="857" t="inlineStr">
        <is>
          <t>実戦1</t>
        </is>
      </c>
      <c r="R71" s="857" t="inlineStr">
        <is>
          <t>実戦2</t>
        </is>
      </c>
      <c r="S71" s="857" t="inlineStr">
        <is>
          <t>実戦3</t>
        </is>
      </c>
      <c r="T71" s="857" t="inlineStr">
        <is>
          <t>実戦4</t>
        </is>
      </c>
      <c r="U71" s="857" t="inlineStr">
        <is>
          <t>直前1</t>
        </is>
      </c>
      <c r="V71" s="857" t="inlineStr">
        <is>
          <t>※</t>
        </is>
      </c>
    </row>
    <row r="72">
      <c r="A72" s="857" t="inlineStr">
        <is>
          <t>国立文系|日本史|難関|塾</t>
        </is>
      </c>
      <c r="B72" s="857" t="inlineStr">
        <is>
          <t>国立文系</t>
        </is>
      </c>
      <c r="C72" s="857" t="inlineStr">
        <is>
          <t>日本史</t>
        </is>
      </c>
      <c r="D72" s="857" t="inlineStr">
        <is>
          <t>難関</t>
        </is>
      </c>
      <c r="E72" s="857" t="inlineStr">
        <is>
          <t>塾</t>
        </is>
      </c>
      <c r="F72" s="857" t="inlineStr">
        <is>
          <t>（塾の授業教材は英語・数学・国語のみ）</t>
        </is>
      </c>
      <c r="G72" s="857" t="inlineStr">
        <is>
          <t>←</t>
        </is>
      </c>
      <c r="H72" s="857" t="inlineStr">
        <is>
          <t>←</t>
        </is>
      </c>
      <c r="I72" s="857" t="inlineStr">
        <is>
          <t>←</t>
        </is>
      </c>
      <c r="J72" s="857" t="inlineStr">
        <is>
          <t>←</t>
        </is>
      </c>
      <c r="K72" s="857" t="inlineStr">
        <is>
          <t>←</t>
        </is>
      </c>
      <c r="L72" s="857" t="inlineStr">
        <is>
          <t>←</t>
        </is>
      </c>
      <c r="M72" s="857" t="inlineStr">
        <is>
          <t>←</t>
        </is>
      </c>
      <c r="N72" s="857" t="inlineStr">
        <is>
          <t>←</t>
        </is>
      </c>
      <c r="O72" s="857" t="inlineStr">
        <is>
          <t>←</t>
        </is>
      </c>
      <c r="P72" s="857" t="inlineStr">
        <is>
          <t>←</t>
        </is>
      </c>
      <c r="Q72" s="857" t="inlineStr">
        <is>
          <t>（塾の授業教材は英語・数学・国語のみ）</t>
        </is>
      </c>
      <c r="R72" s="857" t="inlineStr">
        <is>
          <t>←</t>
        </is>
      </c>
      <c r="S72" s="857" t="inlineStr">
        <is>
          <t>←</t>
        </is>
      </c>
      <c r="T72" s="857" t="inlineStr">
        <is>
          <t>←</t>
        </is>
      </c>
      <c r="U72" s="857" t="inlineStr">
        <is>
          <t>←</t>
        </is>
      </c>
      <c r="V72" s="857" t="inlineStr">
        <is>
          <t>←</t>
        </is>
      </c>
    </row>
    <row r="73">
      <c r="A73" s="857" t="inlineStr">
        <is>
          <t>国立文系|日本史|難関|家</t>
        </is>
      </c>
      <c r="B73" s="857" t="inlineStr">
        <is>
          <t>国立文系</t>
        </is>
      </c>
      <c r="C73" s="857" t="inlineStr">
        <is>
          <t>日本史</t>
        </is>
      </c>
      <c r="D73" s="857" t="inlineStr">
        <is>
          <t>難関</t>
        </is>
      </c>
      <c r="E73" s="857" t="inlineStr">
        <is>
          <t>家</t>
        </is>
      </c>
      <c r="F73" s="857" t="inlineStr">
        <is>
          <t>【家】日本史一問一答【完全版】（授業の復習・5周）</t>
        </is>
      </c>
      <c r="G73" s="857" t="inlineStr">
        <is>
          <t>←</t>
        </is>
      </c>
      <c r="H73" s="857" t="inlineStr">
        <is>
          <t>←</t>
        </is>
      </c>
      <c r="I73" s="857" t="inlineStr">
        <is>
          <t>←</t>
        </is>
      </c>
      <c r="J73" s="857" t="inlineStr">
        <is>
          <t>←</t>
        </is>
      </c>
      <c r="K73" s="857" t="inlineStr">
        <is>
          <t>←</t>
        </is>
      </c>
      <c r="L73" s="857" t="inlineStr">
        <is>
          <t>←</t>
        </is>
      </c>
      <c r="M73" s="857" t="inlineStr">
        <is>
          <t>←</t>
        </is>
      </c>
      <c r="N73" s="857" t="inlineStr">
        <is>
          <t>←</t>
        </is>
      </c>
      <c r="O73" s="857" t="inlineStr">
        <is>
          <t>←</t>
        </is>
      </c>
      <c r="P73" s="857" t="inlineStr">
        <is>
          <t>←</t>
        </is>
      </c>
      <c r="Q73" s="857" t="inlineStr">
        <is>
          <t>【家】日本史一問一答【完全版】＋共通テスト過去問</t>
        </is>
      </c>
      <c r="R73" s="857" t="inlineStr">
        <is>
          <t>←</t>
        </is>
      </c>
      <c r="S73" s="857" t="inlineStr">
        <is>
          <t>←</t>
        </is>
      </c>
      <c r="T73" s="857" t="inlineStr">
        <is>
          <t>←</t>
        </is>
      </c>
      <c r="U73" s="857" t="inlineStr">
        <is>
          <t>【家】{志望校}過去問</t>
        </is>
      </c>
      <c r="V73" s="857" t="inlineStr">
        <is>
          <t>←</t>
        </is>
      </c>
    </row>
    <row r="74">
      <c r="A74" s="856" t="inlineStr">
        <is>
          <t>国立文系|世界史|基礎|講座</t>
        </is>
      </c>
      <c r="B74" s="856" t="inlineStr">
        <is>
          <t>国立文系</t>
        </is>
      </c>
      <c r="C74" s="856" t="inlineStr">
        <is>
          <t>世界史</t>
        </is>
      </c>
      <c r="D74" s="856" t="inlineStr">
        <is>
          <t>基礎</t>
        </is>
      </c>
      <c r="E74" s="856" t="inlineStr">
        <is>
          <t>講座</t>
        </is>
      </c>
      <c r="F74" s="856" t="n"/>
      <c r="G74" s="856" t="inlineStr">
        <is>
          <t>標準世界史（通史）</t>
        </is>
      </c>
      <c r="H74" s="856" t="inlineStr">
        <is>
          <t>←</t>
        </is>
      </c>
      <c r="I74" s="856" t="inlineStr">
        <is>
          <t>←</t>
        </is>
      </c>
      <c r="J74" s="856" t="inlineStr">
        <is>
          <t>←</t>
        </is>
      </c>
      <c r="K74" s="856" t="inlineStr">
        <is>
          <t>←</t>
        </is>
      </c>
      <c r="L74" s="856" t="inlineStr">
        <is>
          <t>←</t>
        </is>
      </c>
      <c r="M74" s="856" t="inlineStr">
        <is>
          <t>←</t>
        </is>
      </c>
      <c r="N74" s="856" t="inlineStr">
        <is>
          <t>←</t>
        </is>
      </c>
      <c r="O74" s="856" t="inlineStr">
        <is>
          <t>夏期講習</t>
        </is>
      </c>
      <c r="P74" s="856" t="inlineStr">
        <is>
          <t>←</t>
        </is>
      </c>
      <c r="Q74" s="856" t="inlineStr">
        <is>
          <t>標準世界史（通史）</t>
        </is>
      </c>
      <c r="R74" s="856" t="inlineStr">
        <is>
          <t>←</t>
        </is>
      </c>
      <c r="S74" s="856" t="inlineStr">
        <is>
          <t>←</t>
        </is>
      </c>
      <c r="T74" s="856" t="inlineStr">
        <is>
          <t>←</t>
        </is>
      </c>
      <c r="U74" s="856" t="inlineStr">
        <is>
          <t>直前講習</t>
        </is>
      </c>
      <c r="V74" s="856" t="inlineStr">
        <is>
          <t>←</t>
        </is>
      </c>
    </row>
    <row r="75">
      <c r="A75" s="857" t="inlineStr">
        <is>
          <t>国立文系|世界史|基礎|回</t>
        </is>
      </c>
      <c r="B75" s="857" t="inlineStr">
        <is>
          <t>国立文系</t>
        </is>
      </c>
      <c r="C75" s="857" t="inlineStr">
        <is>
          <t>世界史</t>
        </is>
      </c>
      <c r="D75" s="857" t="inlineStr">
        <is>
          <t>基礎</t>
        </is>
      </c>
      <c r="E75" s="857" t="inlineStr">
        <is>
          <t>回</t>
        </is>
      </c>
      <c r="F75" s="857" t="n"/>
      <c r="G75" s="857" t="inlineStr">
        <is>
          <t>練成1</t>
        </is>
      </c>
      <c r="H75" s="857" t="inlineStr">
        <is>
          <t>練成2</t>
        </is>
      </c>
      <c r="I75" s="857" t="inlineStr">
        <is>
          <t>練成3</t>
        </is>
      </c>
      <c r="J75" s="857" t="inlineStr">
        <is>
          <t>練成4</t>
        </is>
      </c>
      <c r="K75" s="857" t="inlineStr">
        <is>
          <t>練成5</t>
        </is>
      </c>
      <c r="L75" s="857" t="inlineStr">
        <is>
          <t>練成6</t>
        </is>
      </c>
      <c r="M75" s="857" t="inlineStr">
        <is>
          <t>練成7</t>
        </is>
      </c>
      <c r="N75" s="857" t="inlineStr">
        <is>
          <t>練成8</t>
        </is>
      </c>
      <c r="O75" s="857" t="inlineStr">
        <is>
          <t>夏期1</t>
        </is>
      </c>
      <c r="P75" s="857" t="inlineStr">
        <is>
          <t>夏期2</t>
        </is>
      </c>
      <c r="Q75" s="857" t="inlineStr">
        <is>
          <t>実戦1</t>
        </is>
      </c>
      <c r="R75" s="857" t="inlineStr">
        <is>
          <t>実戦2</t>
        </is>
      </c>
      <c r="S75" s="857" t="inlineStr">
        <is>
          <t>実戦3</t>
        </is>
      </c>
      <c r="T75" s="857" t="inlineStr">
        <is>
          <t>実戦4</t>
        </is>
      </c>
      <c r="U75" s="857" t="inlineStr">
        <is>
          <t>直前1</t>
        </is>
      </c>
      <c r="V75" s="857" t="inlineStr">
        <is>
          <t>※</t>
        </is>
      </c>
    </row>
    <row r="76">
      <c r="A76" s="857" t="inlineStr">
        <is>
          <t>国立文系|世界史|基礎|塾</t>
        </is>
      </c>
      <c r="B76" s="857" t="inlineStr">
        <is>
          <t>国立文系</t>
        </is>
      </c>
      <c r="C76" s="857" t="inlineStr">
        <is>
          <t>世界史</t>
        </is>
      </c>
      <c r="D76" s="857" t="inlineStr">
        <is>
          <t>基礎</t>
        </is>
      </c>
      <c r="E76" s="857" t="inlineStr">
        <is>
          <t>塾</t>
        </is>
      </c>
      <c r="F76" s="857" t="inlineStr">
        <is>
          <t>（塾の授業教材は英語・数学・国語のみ）</t>
        </is>
      </c>
      <c r="G76" s="857" t="inlineStr">
        <is>
          <t>←</t>
        </is>
      </c>
      <c r="H76" s="857" t="inlineStr">
        <is>
          <t>←</t>
        </is>
      </c>
      <c r="I76" s="857" t="inlineStr">
        <is>
          <t>←</t>
        </is>
      </c>
      <c r="J76" s="857" t="inlineStr">
        <is>
          <t>←</t>
        </is>
      </c>
      <c r="K76" s="857" t="inlineStr">
        <is>
          <t>←</t>
        </is>
      </c>
      <c r="L76" s="857" t="inlineStr">
        <is>
          <t>←</t>
        </is>
      </c>
      <c r="M76" s="857" t="inlineStr">
        <is>
          <t>←</t>
        </is>
      </c>
      <c r="N76" s="857" t="inlineStr">
        <is>
          <t>←</t>
        </is>
      </c>
      <c r="O76" s="857" t="inlineStr">
        <is>
          <t>←</t>
        </is>
      </c>
      <c r="P76" s="857" t="inlineStr">
        <is>
          <t>←</t>
        </is>
      </c>
      <c r="Q76" s="857" t="inlineStr">
        <is>
          <t>（塾の授業教材は英語・数学・国語のみ）</t>
        </is>
      </c>
      <c r="R76" s="857" t="inlineStr">
        <is>
          <t>←</t>
        </is>
      </c>
      <c r="S76" s="857" t="inlineStr">
        <is>
          <t>←</t>
        </is>
      </c>
      <c r="T76" s="857" t="inlineStr">
        <is>
          <t>←</t>
        </is>
      </c>
      <c r="U76" s="857" t="inlineStr">
        <is>
          <t>←</t>
        </is>
      </c>
      <c r="V76" s="857" t="inlineStr">
        <is>
          <t>←</t>
        </is>
      </c>
    </row>
    <row r="77">
      <c r="A77" s="857" t="inlineStr">
        <is>
          <t>国立文系|世界史|基礎|家</t>
        </is>
      </c>
      <c r="B77" s="857" t="inlineStr">
        <is>
          <t>国立文系</t>
        </is>
      </c>
      <c r="C77" s="857" t="inlineStr">
        <is>
          <t>世界史</t>
        </is>
      </c>
      <c r="D77" s="857" t="inlineStr">
        <is>
          <t>基礎</t>
        </is>
      </c>
      <c r="E77" s="857" t="inlineStr">
        <is>
          <t>家</t>
        </is>
      </c>
      <c r="F77" s="857" t="inlineStr">
        <is>
          <t>【家】詳説世界史ノート（授業の復習）</t>
        </is>
      </c>
      <c r="G77" s="857" t="inlineStr">
        <is>
          <t>←</t>
        </is>
      </c>
      <c r="H77" s="857" t="inlineStr">
        <is>
          <t>←</t>
        </is>
      </c>
      <c r="I77" s="857" t="inlineStr">
        <is>
          <t>←</t>
        </is>
      </c>
      <c r="J77" s="857" t="inlineStr">
        <is>
          <t>←</t>
        </is>
      </c>
      <c r="K77" s="857" t="inlineStr">
        <is>
          <t>←</t>
        </is>
      </c>
      <c r="L77" s="857" t="inlineStr">
        <is>
          <t>←</t>
        </is>
      </c>
      <c r="M77" s="857" t="inlineStr">
        <is>
          <t>←</t>
        </is>
      </c>
      <c r="N77" s="857" t="inlineStr">
        <is>
          <t>←</t>
        </is>
      </c>
      <c r="O77" s="857" t="inlineStr">
        <is>
          <t>←</t>
        </is>
      </c>
      <c r="P77" s="857" t="inlineStr">
        <is>
          <t>←</t>
        </is>
      </c>
      <c r="Q77" s="857" t="inlineStr">
        <is>
          <t>【家】世界史一問一答【完全版】＋共通テスト過去問</t>
        </is>
      </c>
      <c r="R77" s="857" t="inlineStr">
        <is>
          <t>←</t>
        </is>
      </c>
      <c r="S77" s="857" t="inlineStr">
        <is>
          <t>←</t>
        </is>
      </c>
      <c r="T77" s="857" t="inlineStr">
        <is>
          <t>←</t>
        </is>
      </c>
      <c r="U77" s="857" t="inlineStr">
        <is>
          <t>【家】{志望校}過去問</t>
        </is>
      </c>
      <c r="V77" s="857" t="inlineStr">
        <is>
          <t>←</t>
        </is>
      </c>
    </row>
    <row r="78">
      <c r="A78" s="856" t="inlineStr">
        <is>
          <t>国立文系|世界史|標準|講座</t>
        </is>
      </c>
      <c r="B78" s="856" t="inlineStr">
        <is>
          <t>国立文系</t>
        </is>
      </c>
      <c r="C78" s="856" t="inlineStr">
        <is>
          <t>世界史</t>
        </is>
      </c>
      <c r="D78" s="856" t="inlineStr">
        <is>
          <t>標準</t>
        </is>
      </c>
      <c r="E78" s="856" t="inlineStr">
        <is>
          <t>講座</t>
        </is>
      </c>
      <c r="F78" s="856" t="n"/>
      <c r="G78" s="856" t="inlineStr">
        <is>
          <t>標準世界史（通史）</t>
        </is>
      </c>
      <c r="H78" s="856" t="inlineStr">
        <is>
          <t>←</t>
        </is>
      </c>
      <c r="I78" s="856" t="inlineStr">
        <is>
          <t>←</t>
        </is>
      </c>
      <c r="J78" s="856" t="inlineStr">
        <is>
          <t>←</t>
        </is>
      </c>
      <c r="K78" s="856" t="inlineStr">
        <is>
          <t>←</t>
        </is>
      </c>
      <c r="L78" s="856" t="inlineStr">
        <is>
          <t>←</t>
        </is>
      </c>
      <c r="M78" s="856" t="inlineStr">
        <is>
          <t>←</t>
        </is>
      </c>
      <c r="N78" s="856" t="inlineStr">
        <is>
          <t>←</t>
        </is>
      </c>
      <c r="O78" s="856" t="inlineStr">
        <is>
          <t>夏期講習</t>
        </is>
      </c>
      <c r="P78" s="856" t="inlineStr">
        <is>
          <t>←</t>
        </is>
      </c>
      <c r="Q78" s="856" t="inlineStr">
        <is>
          <t>標準世界史（通史）</t>
        </is>
      </c>
      <c r="R78" s="856" t="inlineStr">
        <is>
          <t>←</t>
        </is>
      </c>
      <c r="S78" s="856" t="inlineStr">
        <is>
          <t>←</t>
        </is>
      </c>
      <c r="T78" s="856" t="inlineStr">
        <is>
          <t>←</t>
        </is>
      </c>
      <c r="U78" s="856" t="inlineStr">
        <is>
          <t>直前講習</t>
        </is>
      </c>
      <c r="V78" s="856" t="inlineStr">
        <is>
          <t>←</t>
        </is>
      </c>
    </row>
    <row r="79">
      <c r="A79" s="857" t="inlineStr">
        <is>
          <t>国立文系|世界史|標準|回</t>
        </is>
      </c>
      <c r="B79" s="857" t="inlineStr">
        <is>
          <t>国立文系</t>
        </is>
      </c>
      <c r="C79" s="857" t="inlineStr">
        <is>
          <t>世界史</t>
        </is>
      </c>
      <c r="D79" s="857" t="inlineStr">
        <is>
          <t>標準</t>
        </is>
      </c>
      <c r="E79" s="857" t="inlineStr">
        <is>
          <t>回</t>
        </is>
      </c>
      <c r="F79" s="857" t="n"/>
      <c r="G79" s="857" t="inlineStr">
        <is>
          <t>練成1</t>
        </is>
      </c>
      <c r="H79" s="857" t="inlineStr">
        <is>
          <t>練成2</t>
        </is>
      </c>
      <c r="I79" s="857" t="inlineStr">
        <is>
          <t>練成3</t>
        </is>
      </c>
      <c r="J79" s="857" t="inlineStr">
        <is>
          <t>練成4</t>
        </is>
      </c>
      <c r="K79" s="857" t="inlineStr">
        <is>
          <t>練成5</t>
        </is>
      </c>
      <c r="L79" s="857" t="inlineStr">
        <is>
          <t>練成6</t>
        </is>
      </c>
      <c r="M79" s="857" t="inlineStr">
        <is>
          <t>練成7</t>
        </is>
      </c>
      <c r="N79" s="857" t="inlineStr">
        <is>
          <t>練成8</t>
        </is>
      </c>
      <c r="O79" s="857" t="inlineStr">
        <is>
          <t>夏期1</t>
        </is>
      </c>
      <c r="P79" s="857" t="inlineStr">
        <is>
          <t>夏期2</t>
        </is>
      </c>
      <c r="Q79" s="857" t="inlineStr">
        <is>
          <t>実戦1</t>
        </is>
      </c>
      <c r="R79" s="857" t="inlineStr">
        <is>
          <t>実戦2</t>
        </is>
      </c>
      <c r="S79" s="857" t="inlineStr">
        <is>
          <t>実戦3</t>
        </is>
      </c>
      <c r="T79" s="857" t="inlineStr">
        <is>
          <t>実戦4</t>
        </is>
      </c>
      <c r="U79" s="857" t="inlineStr">
        <is>
          <t>直前1</t>
        </is>
      </c>
      <c r="V79" s="857" t="inlineStr">
        <is>
          <t>※</t>
        </is>
      </c>
    </row>
    <row r="80">
      <c r="A80" s="857" t="inlineStr">
        <is>
          <t>国立文系|世界史|標準|塾</t>
        </is>
      </c>
      <c r="B80" s="857" t="inlineStr">
        <is>
          <t>国立文系</t>
        </is>
      </c>
      <c r="C80" s="857" t="inlineStr">
        <is>
          <t>世界史</t>
        </is>
      </c>
      <c r="D80" s="857" t="inlineStr">
        <is>
          <t>標準</t>
        </is>
      </c>
      <c r="E80" s="857" t="inlineStr">
        <is>
          <t>塾</t>
        </is>
      </c>
      <c r="F80" s="857" t="inlineStr">
        <is>
          <t>（塾の授業教材は英語・数学・国語のみ）</t>
        </is>
      </c>
      <c r="G80" s="857" t="inlineStr">
        <is>
          <t>←</t>
        </is>
      </c>
      <c r="H80" s="857" t="inlineStr">
        <is>
          <t>←</t>
        </is>
      </c>
      <c r="I80" s="857" t="inlineStr">
        <is>
          <t>←</t>
        </is>
      </c>
      <c r="J80" s="857" t="inlineStr">
        <is>
          <t>←</t>
        </is>
      </c>
      <c r="K80" s="857" t="inlineStr">
        <is>
          <t>←</t>
        </is>
      </c>
      <c r="L80" s="857" t="inlineStr">
        <is>
          <t>←</t>
        </is>
      </c>
      <c r="M80" s="857" t="inlineStr">
        <is>
          <t>←</t>
        </is>
      </c>
      <c r="N80" s="857" t="inlineStr">
        <is>
          <t>←</t>
        </is>
      </c>
      <c r="O80" s="857" t="inlineStr">
        <is>
          <t>←</t>
        </is>
      </c>
      <c r="P80" s="857" t="inlineStr">
        <is>
          <t>←</t>
        </is>
      </c>
      <c r="Q80" s="857" t="inlineStr">
        <is>
          <t>（塾の授業教材は英語・数学・国語のみ）</t>
        </is>
      </c>
      <c r="R80" s="857" t="inlineStr">
        <is>
          <t>←</t>
        </is>
      </c>
      <c r="S80" s="857" t="inlineStr">
        <is>
          <t>←</t>
        </is>
      </c>
      <c r="T80" s="857" t="inlineStr">
        <is>
          <t>←</t>
        </is>
      </c>
      <c r="U80" s="857" t="inlineStr">
        <is>
          <t>←</t>
        </is>
      </c>
      <c r="V80" s="857" t="inlineStr">
        <is>
          <t>←</t>
        </is>
      </c>
    </row>
    <row r="81">
      <c r="A81" s="857" t="inlineStr">
        <is>
          <t>国立文系|世界史|標準|家</t>
        </is>
      </c>
      <c r="B81" s="857" t="inlineStr">
        <is>
          <t>国立文系</t>
        </is>
      </c>
      <c r="C81" s="857" t="inlineStr">
        <is>
          <t>世界史</t>
        </is>
      </c>
      <c r="D81" s="857" t="inlineStr">
        <is>
          <t>標準</t>
        </is>
      </c>
      <c r="E81" s="857" t="inlineStr">
        <is>
          <t>家</t>
        </is>
      </c>
      <c r="F81" s="857" t="inlineStr">
        <is>
          <t>【家】世界史一問一答【完全版】（授業の復習・5周）</t>
        </is>
      </c>
      <c r="G81" s="857" t="inlineStr">
        <is>
          <t>←</t>
        </is>
      </c>
      <c r="H81" s="857" t="inlineStr">
        <is>
          <t>←</t>
        </is>
      </c>
      <c r="I81" s="857" t="inlineStr">
        <is>
          <t>←</t>
        </is>
      </c>
      <c r="J81" s="857" t="inlineStr">
        <is>
          <t>←</t>
        </is>
      </c>
      <c r="K81" s="857" t="inlineStr">
        <is>
          <t>←</t>
        </is>
      </c>
      <c r="L81" s="857" t="inlineStr">
        <is>
          <t>←</t>
        </is>
      </c>
      <c r="M81" s="857" t="inlineStr">
        <is>
          <t>←</t>
        </is>
      </c>
      <c r="N81" s="857" t="inlineStr">
        <is>
          <t>←</t>
        </is>
      </c>
      <c r="O81" s="857" t="inlineStr">
        <is>
          <t>←</t>
        </is>
      </c>
      <c r="P81" s="857" t="inlineStr">
        <is>
          <t>←</t>
        </is>
      </c>
      <c r="Q81" s="857" t="inlineStr">
        <is>
          <t>【家】世界史一問一答【完全版】＋共通テスト過去問</t>
        </is>
      </c>
      <c r="R81" s="857" t="inlineStr">
        <is>
          <t>←</t>
        </is>
      </c>
      <c r="S81" s="857" t="inlineStr">
        <is>
          <t>←</t>
        </is>
      </c>
      <c r="T81" s="857" t="inlineStr">
        <is>
          <t>←</t>
        </is>
      </c>
      <c r="U81" s="857" t="inlineStr">
        <is>
          <t>【家】{志望校}過去問</t>
        </is>
      </c>
      <c r="V81" s="857" t="inlineStr">
        <is>
          <t>←</t>
        </is>
      </c>
    </row>
    <row r="82">
      <c r="A82" s="856" t="inlineStr">
        <is>
          <t>国立文系|世界史|難関|講座</t>
        </is>
      </c>
      <c r="B82" s="856" t="inlineStr">
        <is>
          <t>国立文系</t>
        </is>
      </c>
      <c r="C82" s="856" t="inlineStr">
        <is>
          <t>世界史</t>
        </is>
      </c>
      <c r="D82" s="856" t="inlineStr">
        <is>
          <t>難関</t>
        </is>
      </c>
      <c r="E82" s="856" t="inlineStr">
        <is>
          <t>講座</t>
        </is>
      </c>
      <c r="F82" s="856" t="n"/>
      <c r="G82" s="856" t="inlineStr">
        <is>
          <t>G3W　難関大世界史</t>
        </is>
      </c>
      <c r="H82" s="856" t="inlineStr">
        <is>
          <t>←</t>
        </is>
      </c>
      <c r="I82" s="856" t="inlineStr">
        <is>
          <t>←</t>
        </is>
      </c>
      <c r="J82" s="856" t="inlineStr">
        <is>
          <t>←</t>
        </is>
      </c>
      <c r="K82" s="856" t="inlineStr">
        <is>
          <t>←</t>
        </is>
      </c>
      <c r="L82" s="856" t="inlineStr">
        <is>
          <t>←</t>
        </is>
      </c>
      <c r="M82" s="856" t="inlineStr">
        <is>
          <t>←</t>
        </is>
      </c>
      <c r="N82" s="856" t="inlineStr">
        <is>
          <t>←</t>
        </is>
      </c>
      <c r="O82" s="856" t="inlineStr">
        <is>
          <t>NG3W</t>
        </is>
      </c>
      <c r="P82" s="856" t="inlineStr">
        <is>
          <t>←</t>
        </is>
      </c>
      <c r="Q82" s="856" t="inlineStr">
        <is>
          <t>G3W　難関大世界史</t>
        </is>
      </c>
      <c r="R82" s="856" t="inlineStr">
        <is>
          <t>←</t>
        </is>
      </c>
      <c r="S82" s="856" t="inlineStr">
        <is>
          <t>←</t>
        </is>
      </c>
      <c r="T82" s="856" t="inlineStr">
        <is>
          <t>←</t>
        </is>
      </c>
      <c r="U82" s="856" t="inlineStr">
        <is>
          <t>FG3W</t>
        </is>
      </c>
      <c r="V82" s="856" t="inlineStr">
        <is>
          <t>←</t>
        </is>
      </c>
    </row>
    <row r="83">
      <c r="A83" s="857" t="inlineStr">
        <is>
          <t>国立文系|世界史|難関|回</t>
        </is>
      </c>
      <c r="B83" s="857" t="inlineStr">
        <is>
          <t>国立文系</t>
        </is>
      </c>
      <c r="C83" s="857" t="inlineStr">
        <is>
          <t>世界史</t>
        </is>
      </c>
      <c r="D83" s="857" t="inlineStr">
        <is>
          <t>難関</t>
        </is>
      </c>
      <c r="E83" s="857" t="inlineStr">
        <is>
          <t>回</t>
        </is>
      </c>
      <c r="F83" s="857" t="n"/>
      <c r="G83" s="857" t="inlineStr">
        <is>
          <t>練成1</t>
        </is>
      </c>
      <c r="H83" s="857" t="inlineStr">
        <is>
          <t>練成2</t>
        </is>
      </c>
      <c r="I83" s="857" t="inlineStr">
        <is>
          <t>練成3</t>
        </is>
      </c>
      <c r="J83" s="857" t="inlineStr">
        <is>
          <t>練成4</t>
        </is>
      </c>
      <c r="K83" s="857" t="inlineStr">
        <is>
          <t>練成5</t>
        </is>
      </c>
      <c r="L83" s="857" t="inlineStr">
        <is>
          <t>練成6</t>
        </is>
      </c>
      <c r="M83" s="857" t="inlineStr">
        <is>
          <t>練成7</t>
        </is>
      </c>
      <c r="N83" s="857" t="inlineStr">
        <is>
          <t>練成8</t>
        </is>
      </c>
      <c r="O83" s="857" t="inlineStr">
        <is>
          <t>夏期1</t>
        </is>
      </c>
      <c r="P83" s="857" t="inlineStr">
        <is>
          <t>※</t>
        </is>
      </c>
      <c r="Q83" s="857" t="inlineStr">
        <is>
          <t>実戦1</t>
        </is>
      </c>
      <c r="R83" s="857" t="inlineStr">
        <is>
          <t>実戦2</t>
        </is>
      </c>
      <c r="S83" s="857" t="inlineStr">
        <is>
          <t>実戦3</t>
        </is>
      </c>
      <c r="T83" s="857" t="inlineStr">
        <is>
          <t>実戦4</t>
        </is>
      </c>
      <c r="U83" s="857" t="inlineStr">
        <is>
          <t>直前1</t>
        </is>
      </c>
      <c r="V83" s="857" t="inlineStr">
        <is>
          <t>※</t>
        </is>
      </c>
    </row>
    <row r="84">
      <c r="A84" s="857" t="inlineStr">
        <is>
          <t>国立文系|世界史|難関|塾</t>
        </is>
      </c>
      <c r="B84" s="857" t="inlineStr">
        <is>
          <t>国立文系</t>
        </is>
      </c>
      <c r="C84" s="857" t="inlineStr">
        <is>
          <t>世界史</t>
        </is>
      </c>
      <c r="D84" s="857" t="inlineStr">
        <is>
          <t>難関</t>
        </is>
      </c>
      <c r="E84" s="857" t="inlineStr">
        <is>
          <t>塾</t>
        </is>
      </c>
      <c r="F84" s="857" t="inlineStr">
        <is>
          <t>（塾の授業教材は英語・数学・国語のみ）</t>
        </is>
      </c>
      <c r="G84" s="857" t="inlineStr">
        <is>
          <t>←</t>
        </is>
      </c>
      <c r="H84" s="857" t="inlineStr">
        <is>
          <t>←</t>
        </is>
      </c>
      <c r="I84" s="857" t="inlineStr">
        <is>
          <t>←</t>
        </is>
      </c>
      <c r="J84" s="857" t="inlineStr">
        <is>
          <t>←</t>
        </is>
      </c>
      <c r="K84" s="857" t="inlineStr">
        <is>
          <t>←</t>
        </is>
      </c>
      <c r="L84" s="857" t="inlineStr">
        <is>
          <t>←</t>
        </is>
      </c>
      <c r="M84" s="857" t="inlineStr">
        <is>
          <t>←</t>
        </is>
      </c>
      <c r="N84" s="857" t="inlineStr">
        <is>
          <t>←</t>
        </is>
      </c>
      <c r="O84" s="857" t="inlineStr">
        <is>
          <t>←</t>
        </is>
      </c>
      <c r="P84" s="857" t="inlineStr">
        <is>
          <t>←</t>
        </is>
      </c>
      <c r="Q84" s="857" t="inlineStr">
        <is>
          <t>（塾の授業教材は英語・数学・国語のみ）</t>
        </is>
      </c>
      <c r="R84" s="857" t="inlineStr">
        <is>
          <t>←</t>
        </is>
      </c>
      <c r="S84" s="857" t="inlineStr">
        <is>
          <t>←</t>
        </is>
      </c>
      <c r="T84" s="857" t="inlineStr">
        <is>
          <t>←</t>
        </is>
      </c>
      <c r="U84" s="857" t="inlineStr">
        <is>
          <t>←</t>
        </is>
      </c>
      <c r="V84" s="857" t="inlineStr">
        <is>
          <t>←</t>
        </is>
      </c>
    </row>
    <row r="85">
      <c r="A85" s="857" t="inlineStr">
        <is>
          <t>国立文系|世界史|難関|家</t>
        </is>
      </c>
      <c r="B85" s="857" t="inlineStr">
        <is>
          <t>国立文系</t>
        </is>
      </c>
      <c r="C85" s="857" t="inlineStr">
        <is>
          <t>世界史</t>
        </is>
      </c>
      <c r="D85" s="857" t="inlineStr">
        <is>
          <t>難関</t>
        </is>
      </c>
      <c r="E85" s="857" t="inlineStr">
        <is>
          <t>家</t>
        </is>
      </c>
      <c r="F85" s="857" t="inlineStr">
        <is>
          <t>【家】世界史一問一答【完全版】（授業の復習・5周）</t>
        </is>
      </c>
      <c r="G85" s="857" t="inlineStr">
        <is>
          <t>←</t>
        </is>
      </c>
      <c r="H85" s="857" t="inlineStr">
        <is>
          <t>←</t>
        </is>
      </c>
      <c r="I85" s="857" t="inlineStr">
        <is>
          <t>←</t>
        </is>
      </c>
      <c r="J85" s="857" t="inlineStr">
        <is>
          <t>←</t>
        </is>
      </c>
      <c r="K85" s="857" t="inlineStr">
        <is>
          <t>←</t>
        </is>
      </c>
      <c r="L85" s="857" t="inlineStr">
        <is>
          <t>←</t>
        </is>
      </c>
      <c r="M85" s="857" t="inlineStr">
        <is>
          <t>←</t>
        </is>
      </c>
      <c r="N85" s="857" t="inlineStr">
        <is>
          <t>←</t>
        </is>
      </c>
      <c r="O85" s="857" t="inlineStr">
        <is>
          <t>←</t>
        </is>
      </c>
      <c r="P85" s="857" t="inlineStr">
        <is>
          <t>←</t>
        </is>
      </c>
      <c r="Q85" s="857" t="inlineStr">
        <is>
          <t>【家】世界史一問一答【完全版】＋共通テスト過去問</t>
        </is>
      </c>
      <c r="R85" s="857" t="inlineStr">
        <is>
          <t>←</t>
        </is>
      </c>
      <c r="S85" s="857" t="inlineStr">
        <is>
          <t>←</t>
        </is>
      </c>
      <c r="T85" s="857" t="inlineStr">
        <is>
          <t>←</t>
        </is>
      </c>
      <c r="U85" s="857" t="inlineStr">
        <is>
          <t>【家】{志望校}過去問</t>
        </is>
      </c>
      <c r="V85" s="857" t="inlineStr">
        <is>
          <t>←</t>
        </is>
      </c>
    </row>
    <row r="86">
      <c r="A86" s="856" t="inlineStr">
        <is>
          <t>国立文系|地理|基礎|講座</t>
        </is>
      </c>
      <c r="B86" s="856" t="inlineStr">
        <is>
          <t>国立文系</t>
        </is>
      </c>
      <c r="C86" s="856" t="inlineStr">
        <is>
          <t>地理</t>
        </is>
      </c>
      <c r="D86" s="856" t="inlineStr">
        <is>
          <t>基礎</t>
        </is>
      </c>
      <c r="E86" s="856" t="inlineStr">
        <is>
          <t>講座</t>
        </is>
      </c>
      <c r="F86" s="856" t="n"/>
      <c r="G86" s="856" t="inlineStr">
        <is>
          <t>地理探究（個別試験対策）</t>
        </is>
      </c>
      <c r="H86" s="856" t="inlineStr">
        <is>
          <t>←</t>
        </is>
      </c>
      <c r="I86" s="856" t="inlineStr">
        <is>
          <t>←</t>
        </is>
      </c>
      <c r="J86" s="856" t="inlineStr">
        <is>
          <t>←</t>
        </is>
      </c>
      <c r="K86" s="856" t="inlineStr">
        <is>
          <t>←</t>
        </is>
      </c>
      <c r="L86" s="856" t="inlineStr">
        <is>
          <t>←</t>
        </is>
      </c>
      <c r="M86" s="856" t="inlineStr">
        <is>
          <t>←</t>
        </is>
      </c>
      <c r="N86" s="856" t="inlineStr">
        <is>
          <t>←</t>
        </is>
      </c>
      <c r="O86" s="856" t="inlineStr">
        <is>
          <t>夏期講習</t>
        </is>
      </c>
      <c r="P86" s="856" t="inlineStr">
        <is>
          <t>←</t>
        </is>
      </c>
      <c r="Q86" s="856" t="inlineStr">
        <is>
          <t>地理探究（個別試験対策）</t>
        </is>
      </c>
      <c r="R86" s="856" t="inlineStr">
        <is>
          <t>←</t>
        </is>
      </c>
      <c r="S86" s="856" t="inlineStr">
        <is>
          <t>←</t>
        </is>
      </c>
      <c r="T86" s="856" t="inlineStr">
        <is>
          <t>←</t>
        </is>
      </c>
      <c r="U86" s="856" t="inlineStr">
        <is>
          <t>直前講習</t>
        </is>
      </c>
      <c r="V86" s="856" t="inlineStr">
        <is>
          <t>←</t>
        </is>
      </c>
    </row>
    <row r="87">
      <c r="A87" s="857" t="inlineStr">
        <is>
          <t>国立文系|地理|基礎|回</t>
        </is>
      </c>
      <c r="B87" s="857" t="inlineStr">
        <is>
          <t>国立文系</t>
        </is>
      </c>
      <c r="C87" s="857" t="inlineStr">
        <is>
          <t>地理</t>
        </is>
      </c>
      <c r="D87" s="857" t="inlineStr">
        <is>
          <t>基礎</t>
        </is>
      </c>
      <c r="E87" s="857" t="inlineStr">
        <is>
          <t>回</t>
        </is>
      </c>
      <c r="F87" s="857" t="n"/>
      <c r="G87" s="857" t="inlineStr">
        <is>
          <t>練成1</t>
        </is>
      </c>
      <c r="H87" s="857" t="inlineStr">
        <is>
          <t>練成2</t>
        </is>
      </c>
      <c r="I87" s="857" t="inlineStr">
        <is>
          <t>練成3</t>
        </is>
      </c>
      <c r="J87" s="857" t="inlineStr">
        <is>
          <t>練成4</t>
        </is>
      </c>
      <c r="K87" s="857" t="inlineStr">
        <is>
          <t>練成5</t>
        </is>
      </c>
      <c r="L87" s="857" t="inlineStr">
        <is>
          <t>練成6</t>
        </is>
      </c>
      <c r="M87" s="857" t="inlineStr">
        <is>
          <t>練成7</t>
        </is>
      </c>
      <c r="N87" s="857" t="inlineStr">
        <is>
          <t>練成8</t>
        </is>
      </c>
      <c r="O87" s="857" t="inlineStr">
        <is>
          <t>夏期1</t>
        </is>
      </c>
      <c r="P87" s="857" t="inlineStr">
        <is>
          <t>夏期2</t>
        </is>
      </c>
      <c r="Q87" s="857" t="inlineStr">
        <is>
          <t>実戦1</t>
        </is>
      </c>
      <c r="R87" s="857" t="inlineStr">
        <is>
          <t>実戦2</t>
        </is>
      </c>
      <c r="S87" s="857" t="inlineStr">
        <is>
          <t>実戦3</t>
        </is>
      </c>
      <c r="T87" s="857" t="inlineStr">
        <is>
          <t>実戦4</t>
        </is>
      </c>
      <c r="U87" s="857" t="inlineStr">
        <is>
          <t>直前1</t>
        </is>
      </c>
      <c r="V87" s="857" t="inlineStr">
        <is>
          <t>※</t>
        </is>
      </c>
    </row>
    <row r="88">
      <c r="A88" s="857" t="inlineStr">
        <is>
          <t>国立文系|地理|基礎|塾</t>
        </is>
      </c>
      <c r="B88" s="857" t="inlineStr">
        <is>
          <t>国立文系</t>
        </is>
      </c>
      <c r="C88" s="857" t="inlineStr">
        <is>
          <t>地理</t>
        </is>
      </c>
      <c r="D88" s="857" t="inlineStr">
        <is>
          <t>基礎</t>
        </is>
      </c>
      <c r="E88" s="857" t="inlineStr">
        <is>
          <t>塾</t>
        </is>
      </c>
      <c r="F88" s="857" t="inlineStr">
        <is>
          <t>（塾の授業教材は英語・数学・国語のみ）</t>
        </is>
      </c>
      <c r="G88" s="857" t="inlineStr">
        <is>
          <t>←</t>
        </is>
      </c>
      <c r="H88" s="857" t="inlineStr">
        <is>
          <t>←</t>
        </is>
      </c>
      <c r="I88" s="857" t="inlineStr">
        <is>
          <t>←</t>
        </is>
      </c>
      <c r="J88" s="857" t="inlineStr">
        <is>
          <t>←</t>
        </is>
      </c>
      <c r="K88" s="857" t="inlineStr">
        <is>
          <t>←</t>
        </is>
      </c>
      <c r="L88" s="857" t="inlineStr">
        <is>
          <t>←</t>
        </is>
      </c>
      <c r="M88" s="857" t="inlineStr">
        <is>
          <t>←</t>
        </is>
      </c>
      <c r="N88" s="857" t="inlineStr">
        <is>
          <t>←</t>
        </is>
      </c>
      <c r="O88" s="857" t="inlineStr">
        <is>
          <t>←</t>
        </is>
      </c>
      <c r="P88" s="857" t="inlineStr">
        <is>
          <t>←</t>
        </is>
      </c>
      <c r="Q88" s="857" t="inlineStr">
        <is>
          <t>（塾の授業教材は英語・数学・国語のみ）</t>
        </is>
      </c>
      <c r="R88" s="857" t="inlineStr">
        <is>
          <t>←</t>
        </is>
      </c>
      <c r="S88" s="857" t="inlineStr">
        <is>
          <t>←</t>
        </is>
      </c>
      <c r="T88" s="857" t="inlineStr">
        <is>
          <t>←</t>
        </is>
      </c>
      <c r="U88" s="857" t="inlineStr">
        <is>
          <t>←</t>
        </is>
      </c>
      <c r="V88" s="857" t="inlineStr">
        <is>
          <t>←</t>
        </is>
      </c>
    </row>
    <row r="89">
      <c r="A89" s="857" t="inlineStr">
        <is>
          <t>国立文系|地理|基礎|家</t>
        </is>
      </c>
      <c r="B89" s="857" t="inlineStr">
        <is>
          <t>国立文系</t>
        </is>
      </c>
      <c r="C89" s="857" t="inlineStr">
        <is>
          <t>地理</t>
        </is>
      </c>
      <c r="D89" s="857" t="inlineStr">
        <is>
          <t>基礎</t>
        </is>
      </c>
      <c r="E89" s="857" t="inlineStr">
        <is>
          <t>家</t>
        </is>
      </c>
      <c r="F89" s="857" t="inlineStr">
        <is>
          <t>【家】地理総合，地理探究 実況中継（授業の復習）</t>
        </is>
      </c>
      <c r="G89" s="857" t="inlineStr">
        <is>
          <t>←</t>
        </is>
      </c>
      <c r="H89" s="857" t="inlineStr">
        <is>
          <t>←</t>
        </is>
      </c>
      <c r="I89" s="857" t="inlineStr">
        <is>
          <t>←</t>
        </is>
      </c>
      <c r="J89" s="857" t="inlineStr">
        <is>
          <t>←</t>
        </is>
      </c>
      <c r="K89" s="857" t="inlineStr">
        <is>
          <t>←</t>
        </is>
      </c>
      <c r="L89" s="857" t="inlineStr">
        <is>
          <t>←</t>
        </is>
      </c>
      <c r="M89" s="857" t="inlineStr">
        <is>
          <t>←</t>
        </is>
      </c>
      <c r="N89" s="857" t="inlineStr">
        <is>
          <t>←</t>
        </is>
      </c>
      <c r="O89" s="857" t="inlineStr">
        <is>
          <t>←</t>
        </is>
      </c>
      <c r="P89" s="857" t="inlineStr">
        <is>
          <t>←</t>
        </is>
      </c>
      <c r="Q89" s="857" t="inlineStr">
        <is>
          <t>【家】共通テスト過去問（地理）</t>
        </is>
      </c>
      <c r="R89" s="857" t="inlineStr">
        <is>
          <t>←</t>
        </is>
      </c>
      <c r="S89" s="857" t="inlineStr">
        <is>
          <t>←</t>
        </is>
      </c>
      <c r="T89" s="857" t="inlineStr">
        <is>
          <t>←</t>
        </is>
      </c>
      <c r="U89" s="857" t="inlineStr">
        <is>
          <t>【家】{志望校}過去問</t>
        </is>
      </c>
      <c r="V89" s="857" t="inlineStr">
        <is>
          <t>←</t>
        </is>
      </c>
    </row>
    <row r="90">
      <c r="A90" s="856" t="inlineStr">
        <is>
          <t>国立文系|地理|標準|講座</t>
        </is>
      </c>
      <c r="B90" s="856" t="inlineStr">
        <is>
          <t>国立文系</t>
        </is>
      </c>
      <c r="C90" s="856" t="inlineStr">
        <is>
          <t>地理</t>
        </is>
      </c>
      <c r="D90" s="856" t="inlineStr">
        <is>
          <t>標準</t>
        </is>
      </c>
      <c r="E90" s="856" t="inlineStr">
        <is>
          <t>講座</t>
        </is>
      </c>
      <c r="F90" s="856" t="n"/>
      <c r="G90" s="856" t="inlineStr">
        <is>
          <t>地理探究（個別試験対策）</t>
        </is>
      </c>
      <c r="H90" s="856" t="inlineStr">
        <is>
          <t>←</t>
        </is>
      </c>
      <c r="I90" s="856" t="inlineStr">
        <is>
          <t>←</t>
        </is>
      </c>
      <c r="J90" s="856" t="inlineStr">
        <is>
          <t>←</t>
        </is>
      </c>
      <c r="K90" s="856" t="inlineStr">
        <is>
          <t>←</t>
        </is>
      </c>
      <c r="L90" s="856" t="inlineStr">
        <is>
          <t>←</t>
        </is>
      </c>
      <c r="M90" s="856" t="inlineStr">
        <is>
          <t>←</t>
        </is>
      </c>
      <c r="N90" s="856" t="inlineStr">
        <is>
          <t>←</t>
        </is>
      </c>
      <c r="O90" s="856" t="inlineStr">
        <is>
          <t>夏期講習</t>
        </is>
      </c>
      <c r="P90" s="856" t="inlineStr">
        <is>
          <t>←</t>
        </is>
      </c>
      <c r="Q90" s="856" t="inlineStr">
        <is>
          <t>地理探究（個別試験対策）</t>
        </is>
      </c>
      <c r="R90" s="856" t="inlineStr">
        <is>
          <t>←</t>
        </is>
      </c>
      <c r="S90" s="856" t="inlineStr">
        <is>
          <t>←</t>
        </is>
      </c>
      <c r="T90" s="856" t="inlineStr">
        <is>
          <t>←</t>
        </is>
      </c>
      <c r="U90" s="856" t="inlineStr">
        <is>
          <t>直前講習</t>
        </is>
      </c>
      <c r="V90" s="856" t="inlineStr">
        <is>
          <t>←</t>
        </is>
      </c>
    </row>
    <row r="91">
      <c r="A91" s="857" t="inlineStr">
        <is>
          <t>国立文系|地理|標準|回</t>
        </is>
      </c>
      <c r="B91" s="857" t="inlineStr">
        <is>
          <t>国立文系</t>
        </is>
      </c>
      <c r="C91" s="857" t="inlineStr">
        <is>
          <t>地理</t>
        </is>
      </c>
      <c r="D91" s="857" t="inlineStr">
        <is>
          <t>標準</t>
        </is>
      </c>
      <c r="E91" s="857" t="inlineStr">
        <is>
          <t>回</t>
        </is>
      </c>
      <c r="F91" s="857" t="n"/>
      <c r="G91" s="857" t="inlineStr">
        <is>
          <t>練成1</t>
        </is>
      </c>
      <c r="H91" s="857" t="inlineStr">
        <is>
          <t>練成2</t>
        </is>
      </c>
      <c r="I91" s="857" t="inlineStr">
        <is>
          <t>練成3</t>
        </is>
      </c>
      <c r="J91" s="857" t="inlineStr">
        <is>
          <t>練成4</t>
        </is>
      </c>
      <c r="K91" s="857" t="inlineStr">
        <is>
          <t>練成5</t>
        </is>
      </c>
      <c r="L91" s="857" t="inlineStr">
        <is>
          <t>練成6</t>
        </is>
      </c>
      <c r="M91" s="857" t="inlineStr">
        <is>
          <t>練成7</t>
        </is>
      </c>
      <c r="N91" s="857" t="inlineStr">
        <is>
          <t>練成8</t>
        </is>
      </c>
      <c r="O91" s="857" t="inlineStr">
        <is>
          <t>夏期1</t>
        </is>
      </c>
      <c r="P91" s="857" t="inlineStr">
        <is>
          <t>夏期2</t>
        </is>
      </c>
      <c r="Q91" s="857" t="inlineStr">
        <is>
          <t>実戦1</t>
        </is>
      </c>
      <c r="R91" s="857" t="inlineStr">
        <is>
          <t>実戦2</t>
        </is>
      </c>
      <c r="S91" s="857" t="inlineStr">
        <is>
          <t>実戦3</t>
        </is>
      </c>
      <c r="T91" s="857" t="inlineStr">
        <is>
          <t>実戦4</t>
        </is>
      </c>
      <c r="U91" s="857" t="inlineStr">
        <is>
          <t>直前1</t>
        </is>
      </c>
      <c r="V91" s="857" t="inlineStr">
        <is>
          <t>※</t>
        </is>
      </c>
    </row>
    <row r="92">
      <c r="A92" s="857" t="inlineStr">
        <is>
          <t>国立文系|地理|標準|塾</t>
        </is>
      </c>
      <c r="B92" s="857" t="inlineStr">
        <is>
          <t>国立文系</t>
        </is>
      </c>
      <c r="C92" s="857" t="inlineStr">
        <is>
          <t>地理</t>
        </is>
      </c>
      <c r="D92" s="857" t="inlineStr">
        <is>
          <t>標準</t>
        </is>
      </c>
      <c r="E92" s="857" t="inlineStr">
        <is>
          <t>塾</t>
        </is>
      </c>
      <c r="F92" s="857" t="inlineStr">
        <is>
          <t>（塾の授業教材は英語・数学・国語のみ）</t>
        </is>
      </c>
      <c r="G92" s="857" t="inlineStr">
        <is>
          <t>←</t>
        </is>
      </c>
      <c r="H92" s="857" t="inlineStr">
        <is>
          <t>←</t>
        </is>
      </c>
      <c r="I92" s="857" t="inlineStr">
        <is>
          <t>←</t>
        </is>
      </c>
      <c r="J92" s="857" t="inlineStr">
        <is>
          <t>←</t>
        </is>
      </c>
      <c r="K92" s="857" t="inlineStr">
        <is>
          <t>←</t>
        </is>
      </c>
      <c r="L92" s="857" t="inlineStr">
        <is>
          <t>←</t>
        </is>
      </c>
      <c r="M92" s="857" t="inlineStr">
        <is>
          <t>←</t>
        </is>
      </c>
      <c r="N92" s="857" t="inlineStr">
        <is>
          <t>←</t>
        </is>
      </c>
      <c r="O92" s="857" t="inlineStr">
        <is>
          <t>←</t>
        </is>
      </c>
      <c r="P92" s="857" t="inlineStr">
        <is>
          <t>←</t>
        </is>
      </c>
      <c r="Q92" s="857" t="inlineStr">
        <is>
          <t>（塾の授業教材は英語・数学・国語のみ）</t>
        </is>
      </c>
      <c r="R92" s="857" t="inlineStr">
        <is>
          <t>←</t>
        </is>
      </c>
      <c r="S92" s="857" t="inlineStr">
        <is>
          <t>←</t>
        </is>
      </c>
      <c r="T92" s="857" t="inlineStr">
        <is>
          <t>←</t>
        </is>
      </c>
      <c r="U92" s="857" t="inlineStr">
        <is>
          <t>←</t>
        </is>
      </c>
      <c r="V92" s="857" t="inlineStr">
        <is>
          <t>←</t>
        </is>
      </c>
    </row>
    <row r="93">
      <c r="A93" s="857" t="inlineStr">
        <is>
          <t>国立文系|地理|標準|家</t>
        </is>
      </c>
      <c r="B93" s="857" t="inlineStr">
        <is>
          <t>国立文系</t>
        </is>
      </c>
      <c r="C93" s="857" t="inlineStr">
        <is>
          <t>地理</t>
        </is>
      </c>
      <c r="D93" s="857" t="inlineStr">
        <is>
          <t>標準</t>
        </is>
      </c>
      <c r="E93" s="857" t="inlineStr">
        <is>
          <t>家</t>
        </is>
      </c>
      <c r="F93" s="857" t="inlineStr">
        <is>
          <t>【家】地理総合，地理探究 実況中継（授業の復習）</t>
        </is>
      </c>
      <c r="G93" s="857" t="inlineStr">
        <is>
          <t>←</t>
        </is>
      </c>
      <c r="H93" s="857" t="inlineStr">
        <is>
          <t>←</t>
        </is>
      </c>
      <c r="I93" s="857" t="inlineStr">
        <is>
          <t>←</t>
        </is>
      </c>
      <c r="J93" s="857" t="inlineStr">
        <is>
          <t>←</t>
        </is>
      </c>
      <c r="K93" s="857" t="inlineStr">
        <is>
          <t>←</t>
        </is>
      </c>
      <c r="L93" s="857" t="inlineStr">
        <is>
          <t>←</t>
        </is>
      </c>
      <c r="M93" s="857" t="inlineStr">
        <is>
          <t>←</t>
        </is>
      </c>
      <c r="N93" s="857" t="inlineStr">
        <is>
          <t>←</t>
        </is>
      </c>
      <c r="O93" s="857" t="inlineStr">
        <is>
          <t>←</t>
        </is>
      </c>
      <c r="P93" s="857" t="inlineStr">
        <is>
          <t>←</t>
        </is>
      </c>
      <c r="Q93" s="857" t="inlineStr">
        <is>
          <t>【家】共通テスト過去問（地理）</t>
        </is>
      </c>
      <c r="R93" s="857" t="inlineStr">
        <is>
          <t>←</t>
        </is>
      </c>
      <c r="S93" s="857" t="inlineStr">
        <is>
          <t>←</t>
        </is>
      </c>
      <c r="T93" s="857" t="inlineStr">
        <is>
          <t>←</t>
        </is>
      </c>
      <c r="U93" s="857" t="inlineStr">
        <is>
          <t>【家】{志望校}過去問</t>
        </is>
      </c>
      <c r="V93" s="857" t="inlineStr">
        <is>
          <t>←</t>
        </is>
      </c>
    </row>
    <row r="94">
      <c r="A94" s="856" t="inlineStr">
        <is>
          <t>国立文系|地理|難関|講座</t>
        </is>
      </c>
      <c r="B94" s="856" t="inlineStr">
        <is>
          <t>国立文系</t>
        </is>
      </c>
      <c r="C94" s="856" t="inlineStr">
        <is>
          <t>地理</t>
        </is>
      </c>
      <c r="D94" s="856" t="inlineStr">
        <is>
          <t>難関</t>
        </is>
      </c>
      <c r="E94" s="856" t="inlineStr">
        <is>
          <t>講座</t>
        </is>
      </c>
      <c r="F94" s="856" t="n"/>
      <c r="G94" s="856" t="inlineStr">
        <is>
          <t>地理探究（個別試験対策）</t>
        </is>
      </c>
      <c r="H94" s="856" t="inlineStr">
        <is>
          <t>←</t>
        </is>
      </c>
      <c r="I94" s="856" t="inlineStr">
        <is>
          <t>←</t>
        </is>
      </c>
      <c r="J94" s="856" t="inlineStr">
        <is>
          <t>←</t>
        </is>
      </c>
      <c r="K94" s="856" t="inlineStr">
        <is>
          <t>←</t>
        </is>
      </c>
      <c r="L94" s="856" t="inlineStr">
        <is>
          <t>←</t>
        </is>
      </c>
      <c r="M94" s="856" t="inlineStr">
        <is>
          <t>←</t>
        </is>
      </c>
      <c r="N94" s="856" t="inlineStr">
        <is>
          <t>←</t>
        </is>
      </c>
      <c r="O94" s="856" t="inlineStr">
        <is>
          <t>夏期講習</t>
        </is>
      </c>
      <c r="P94" s="856" t="inlineStr">
        <is>
          <t>←</t>
        </is>
      </c>
      <c r="Q94" s="856" t="inlineStr">
        <is>
          <t>地理探究（個別試験対策）</t>
        </is>
      </c>
      <c r="R94" s="856" t="inlineStr">
        <is>
          <t>←</t>
        </is>
      </c>
      <c r="S94" s="856" t="inlineStr">
        <is>
          <t>←</t>
        </is>
      </c>
      <c r="T94" s="856" t="inlineStr">
        <is>
          <t>←</t>
        </is>
      </c>
      <c r="U94" s="856" t="inlineStr">
        <is>
          <t>直前講習</t>
        </is>
      </c>
      <c r="V94" s="856" t="inlineStr">
        <is>
          <t>←</t>
        </is>
      </c>
    </row>
    <row r="95">
      <c r="A95" s="857" t="inlineStr">
        <is>
          <t>国立文系|地理|難関|回</t>
        </is>
      </c>
      <c r="B95" s="857" t="inlineStr">
        <is>
          <t>国立文系</t>
        </is>
      </c>
      <c r="C95" s="857" t="inlineStr">
        <is>
          <t>地理</t>
        </is>
      </c>
      <c r="D95" s="857" t="inlineStr">
        <is>
          <t>難関</t>
        </is>
      </c>
      <c r="E95" s="857" t="inlineStr">
        <is>
          <t>回</t>
        </is>
      </c>
      <c r="F95" s="857" t="n"/>
      <c r="G95" s="857" t="inlineStr">
        <is>
          <t>練成1</t>
        </is>
      </c>
      <c r="H95" s="857" t="inlineStr">
        <is>
          <t>練成2</t>
        </is>
      </c>
      <c r="I95" s="857" t="inlineStr">
        <is>
          <t>練成3</t>
        </is>
      </c>
      <c r="J95" s="857" t="inlineStr">
        <is>
          <t>練成4</t>
        </is>
      </c>
      <c r="K95" s="857" t="inlineStr">
        <is>
          <t>練成5</t>
        </is>
      </c>
      <c r="L95" s="857" t="inlineStr">
        <is>
          <t>練成6</t>
        </is>
      </c>
      <c r="M95" s="857" t="inlineStr">
        <is>
          <t>練成7</t>
        </is>
      </c>
      <c r="N95" s="857" t="inlineStr">
        <is>
          <t>練成8</t>
        </is>
      </c>
      <c r="O95" s="857" t="inlineStr">
        <is>
          <t>夏期1</t>
        </is>
      </c>
      <c r="P95" s="857" t="inlineStr">
        <is>
          <t>夏期2</t>
        </is>
      </c>
      <c r="Q95" s="857" t="inlineStr">
        <is>
          <t>実戦1</t>
        </is>
      </c>
      <c r="R95" s="857" t="inlineStr">
        <is>
          <t>実戦2</t>
        </is>
      </c>
      <c r="S95" s="857" t="inlineStr">
        <is>
          <t>実戦3</t>
        </is>
      </c>
      <c r="T95" s="857" t="inlineStr">
        <is>
          <t>実戦4</t>
        </is>
      </c>
      <c r="U95" s="857" t="inlineStr">
        <is>
          <t>直前1</t>
        </is>
      </c>
      <c r="V95" s="857" t="inlineStr">
        <is>
          <t>※</t>
        </is>
      </c>
    </row>
    <row r="96">
      <c r="A96" s="857" t="inlineStr">
        <is>
          <t>国立文系|地理|難関|塾</t>
        </is>
      </c>
      <c r="B96" s="857" t="inlineStr">
        <is>
          <t>国立文系</t>
        </is>
      </c>
      <c r="C96" s="857" t="inlineStr">
        <is>
          <t>地理</t>
        </is>
      </c>
      <c r="D96" s="857" t="inlineStr">
        <is>
          <t>難関</t>
        </is>
      </c>
      <c r="E96" s="857" t="inlineStr">
        <is>
          <t>塾</t>
        </is>
      </c>
      <c r="F96" s="857" t="inlineStr">
        <is>
          <t>（塾の授業教材は英語・数学・国語のみ）</t>
        </is>
      </c>
      <c r="G96" s="857" t="inlineStr">
        <is>
          <t>←</t>
        </is>
      </c>
      <c r="H96" s="857" t="inlineStr">
        <is>
          <t>←</t>
        </is>
      </c>
      <c r="I96" s="857" t="inlineStr">
        <is>
          <t>←</t>
        </is>
      </c>
      <c r="J96" s="857" t="inlineStr">
        <is>
          <t>←</t>
        </is>
      </c>
      <c r="K96" s="857" t="inlineStr">
        <is>
          <t>←</t>
        </is>
      </c>
      <c r="L96" s="857" t="inlineStr">
        <is>
          <t>←</t>
        </is>
      </c>
      <c r="M96" s="857" t="inlineStr">
        <is>
          <t>←</t>
        </is>
      </c>
      <c r="N96" s="857" t="inlineStr">
        <is>
          <t>←</t>
        </is>
      </c>
      <c r="O96" s="857" t="inlineStr">
        <is>
          <t>←</t>
        </is>
      </c>
      <c r="P96" s="857" t="inlineStr">
        <is>
          <t>←</t>
        </is>
      </c>
      <c r="Q96" s="857" t="inlineStr">
        <is>
          <t>（塾の授業教材は英語・数学・国語のみ）</t>
        </is>
      </c>
      <c r="R96" s="857" t="inlineStr">
        <is>
          <t>←</t>
        </is>
      </c>
      <c r="S96" s="857" t="inlineStr">
        <is>
          <t>←</t>
        </is>
      </c>
      <c r="T96" s="857" t="inlineStr">
        <is>
          <t>←</t>
        </is>
      </c>
      <c r="U96" s="857" t="inlineStr">
        <is>
          <t>←</t>
        </is>
      </c>
      <c r="V96" s="857" t="inlineStr">
        <is>
          <t>←</t>
        </is>
      </c>
    </row>
    <row r="97">
      <c r="A97" s="857" t="inlineStr">
        <is>
          <t>国立文系|地理|難関|家</t>
        </is>
      </c>
      <c r="B97" s="857" t="inlineStr">
        <is>
          <t>国立文系</t>
        </is>
      </c>
      <c r="C97" s="857" t="inlineStr">
        <is>
          <t>地理</t>
        </is>
      </c>
      <c r="D97" s="857" t="inlineStr">
        <is>
          <t>難関</t>
        </is>
      </c>
      <c r="E97" s="857" t="inlineStr">
        <is>
          <t>家</t>
        </is>
      </c>
      <c r="F97" s="857" t="inlineStr">
        <is>
          <t>【家】地理総合，地理探究 実況中継（授業の復習）</t>
        </is>
      </c>
      <c r="G97" s="857" t="inlineStr">
        <is>
          <t>←</t>
        </is>
      </c>
      <c r="H97" s="857" t="inlineStr">
        <is>
          <t>←</t>
        </is>
      </c>
      <c r="I97" s="857" t="inlineStr">
        <is>
          <t>←</t>
        </is>
      </c>
      <c r="J97" s="857" t="inlineStr">
        <is>
          <t>←</t>
        </is>
      </c>
      <c r="K97" s="857" t="inlineStr">
        <is>
          <t>←</t>
        </is>
      </c>
      <c r="L97" s="857" t="inlineStr">
        <is>
          <t>←</t>
        </is>
      </c>
      <c r="M97" s="857" t="inlineStr">
        <is>
          <t>←</t>
        </is>
      </c>
      <c r="N97" s="857" t="inlineStr">
        <is>
          <t>←</t>
        </is>
      </c>
      <c r="O97" s="857" t="inlineStr">
        <is>
          <t>←</t>
        </is>
      </c>
      <c r="P97" s="857" t="inlineStr">
        <is>
          <t>←</t>
        </is>
      </c>
      <c r="Q97" s="857" t="inlineStr">
        <is>
          <t>【家】共通テスト過去問（地理）</t>
        </is>
      </c>
      <c r="R97" s="857" t="inlineStr">
        <is>
          <t>←</t>
        </is>
      </c>
      <c r="S97" s="857" t="inlineStr">
        <is>
          <t>←</t>
        </is>
      </c>
      <c r="T97" s="857" t="inlineStr">
        <is>
          <t>←</t>
        </is>
      </c>
      <c r="U97" s="857" t="inlineStr">
        <is>
          <t>【家】{志望校}過去問</t>
        </is>
      </c>
      <c r="V97" s="857" t="inlineStr">
        <is>
          <t>←</t>
        </is>
      </c>
    </row>
    <row r="98">
      <c r="A98" s="856" t="inlineStr">
        <is>
          <t>国立理系|英語|基礎|講座</t>
        </is>
      </c>
      <c r="B98" s="856" t="inlineStr">
        <is>
          <t>国立理系</t>
        </is>
      </c>
      <c r="C98" s="856" t="inlineStr">
        <is>
          <t>英語</t>
        </is>
      </c>
      <c r="D98" s="856" t="inlineStr">
        <is>
          <t>基礎</t>
        </is>
      </c>
      <c r="E98" s="856" t="inlineStr">
        <is>
          <t>講座</t>
        </is>
      </c>
      <c r="F98" s="856" t="n"/>
      <c r="G98" s="856" t="inlineStr">
        <is>
          <t>基礎英語（文法・構文）</t>
        </is>
      </c>
      <c r="H98" s="856" t="inlineStr">
        <is>
          <t>←</t>
        </is>
      </c>
      <c r="I98" s="856" t="inlineStr">
        <is>
          <t>←</t>
        </is>
      </c>
      <c r="J98" s="856" t="inlineStr">
        <is>
          <t>←</t>
        </is>
      </c>
      <c r="K98" s="856" t="inlineStr">
        <is>
          <t>←</t>
        </is>
      </c>
      <c r="L98" s="856" t="inlineStr">
        <is>
          <t>←</t>
        </is>
      </c>
      <c r="M98" s="856" t="inlineStr">
        <is>
          <t>←</t>
        </is>
      </c>
      <c r="N98" s="856" t="inlineStr">
        <is>
          <t>←</t>
        </is>
      </c>
      <c r="O98" s="856" t="inlineStr">
        <is>
          <t>夏期講習</t>
        </is>
      </c>
      <c r="P98" s="856" t="inlineStr">
        <is>
          <t>←</t>
        </is>
      </c>
      <c r="Q98" s="856" t="inlineStr">
        <is>
          <t>基礎英語（文法・構文）</t>
        </is>
      </c>
      <c r="R98" s="856" t="inlineStr">
        <is>
          <t>←</t>
        </is>
      </c>
      <c r="S98" s="856" t="inlineStr">
        <is>
          <t>←</t>
        </is>
      </c>
      <c r="T98" s="856" t="inlineStr">
        <is>
          <t>←</t>
        </is>
      </c>
      <c r="U98" s="856" t="inlineStr">
        <is>
          <t>直前講習</t>
        </is>
      </c>
      <c r="V98" s="856" t="inlineStr">
        <is>
          <t>←</t>
        </is>
      </c>
    </row>
    <row r="99">
      <c r="A99" s="857" t="inlineStr">
        <is>
          <t>国立理系|英語|基礎|回</t>
        </is>
      </c>
      <c r="B99" s="857" t="inlineStr">
        <is>
          <t>国立理系</t>
        </is>
      </c>
      <c r="C99" s="857" t="inlineStr">
        <is>
          <t>英語</t>
        </is>
      </c>
      <c r="D99" s="857" t="inlineStr">
        <is>
          <t>基礎</t>
        </is>
      </c>
      <c r="E99" s="857" t="inlineStr">
        <is>
          <t>回</t>
        </is>
      </c>
      <c r="F99" s="857" t="n"/>
      <c r="G99" s="857" t="inlineStr">
        <is>
          <t>練成1</t>
        </is>
      </c>
      <c r="H99" s="857" t="inlineStr">
        <is>
          <t>練成2</t>
        </is>
      </c>
      <c r="I99" s="857" t="inlineStr">
        <is>
          <t>練成3</t>
        </is>
      </c>
      <c r="J99" s="857" t="inlineStr">
        <is>
          <t>練成4</t>
        </is>
      </c>
      <c r="K99" s="857" t="inlineStr">
        <is>
          <t>練成5</t>
        </is>
      </c>
      <c r="L99" s="857" t="inlineStr">
        <is>
          <t>練成6</t>
        </is>
      </c>
      <c r="M99" s="857" t="inlineStr">
        <is>
          <t>練成7</t>
        </is>
      </c>
      <c r="N99" s="857" t="inlineStr">
        <is>
          <t>練成8</t>
        </is>
      </c>
      <c r="O99" s="857" t="inlineStr">
        <is>
          <t>夏期1</t>
        </is>
      </c>
      <c r="P99" s="857" t="inlineStr">
        <is>
          <t>夏期2</t>
        </is>
      </c>
      <c r="Q99" s="857" t="inlineStr">
        <is>
          <t>実戦1</t>
        </is>
      </c>
      <c r="R99" s="857" t="inlineStr">
        <is>
          <t>実戦2</t>
        </is>
      </c>
      <c r="S99" s="857" t="inlineStr">
        <is>
          <t>実戦3</t>
        </is>
      </c>
      <c r="T99" s="857" t="inlineStr">
        <is>
          <t>実戦4</t>
        </is>
      </c>
      <c r="U99" s="857" t="inlineStr">
        <is>
          <t>直前1</t>
        </is>
      </c>
      <c r="V99" s="857" t="inlineStr">
        <is>
          <t>※</t>
        </is>
      </c>
    </row>
    <row r="100">
      <c r="A100" s="857" t="inlineStr">
        <is>
          <t>国立理系|英語|基礎|塾</t>
        </is>
      </c>
      <c r="B100" s="857" t="inlineStr">
        <is>
          <t>国立理系</t>
        </is>
      </c>
      <c r="C100" s="857" t="inlineStr">
        <is>
          <t>英語</t>
        </is>
      </c>
      <c r="D100" s="857" t="inlineStr">
        <is>
          <t>基礎</t>
        </is>
      </c>
      <c r="E100" s="857" t="inlineStr">
        <is>
          <t>塾</t>
        </is>
      </c>
      <c r="F100" s="857" t="inlineStr">
        <is>
          <t>【塾】大岩のいちばんはじめの英文法【超基礎文法編】</t>
        </is>
      </c>
      <c r="G100" s="857" t="inlineStr">
        <is>
          <t>←</t>
        </is>
      </c>
      <c r="H100" s="857" t="inlineStr">
        <is>
          <t>←</t>
        </is>
      </c>
      <c r="I100" s="857" t="inlineStr">
        <is>
          <t>←</t>
        </is>
      </c>
      <c r="J100" s="857" t="inlineStr">
        <is>
          <t>【塾】英文法・語法 Vintage＋入門英文解釈の技術70</t>
        </is>
      </c>
      <c r="K100" s="857" t="inlineStr">
        <is>
          <t>←</t>
        </is>
      </c>
      <c r="L100" s="857" t="inlineStr">
        <is>
          <t>←</t>
        </is>
      </c>
      <c r="M100" s="857" t="inlineStr">
        <is>
          <t>←</t>
        </is>
      </c>
      <c r="N100" s="857" t="inlineStr">
        <is>
          <t>←</t>
        </is>
      </c>
      <c r="O100" s="857" t="inlineStr">
        <is>
          <t>←</t>
        </is>
      </c>
      <c r="P100" s="857" t="inlineStr">
        <is>
          <t>←</t>
        </is>
      </c>
      <c r="Q100" s="857" t="inlineStr">
        <is>
          <t>【塾】やっておきたい英語長文300＋共通テスト対策</t>
        </is>
      </c>
      <c r="R100" s="857" t="inlineStr">
        <is>
          <t>←</t>
        </is>
      </c>
      <c r="S100" s="857" t="inlineStr">
        <is>
          <t>←</t>
        </is>
      </c>
      <c r="T100" s="857" t="inlineStr">
        <is>
          <t>←</t>
        </is>
      </c>
      <c r="U100" s="857" t="inlineStr">
        <is>
          <t>【塾】{志望校}過去問</t>
        </is>
      </c>
      <c r="V100" s="857" t="inlineStr">
        <is>
          <t>←</t>
        </is>
      </c>
    </row>
    <row r="101">
      <c r="A101" s="857" t="inlineStr">
        <is>
          <t>国立理系|英語|基礎|家</t>
        </is>
      </c>
      <c r="B101" s="857" t="inlineStr">
        <is>
          <t>国立理系</t>
        </is>
      </c>
      <c r="C101" s="857" t="inlineStr">
        <is>
          <t>英語</t>
        </is>
      </c>
      <c r="D101" s="857" t="inlineStr">
        <is>
          <t>基礎</t>
        </is>
      </c>
      <c r="E101" s="857" t="inlineStr">
        <is>
          <t>家</t>
        </is>
      </c>
      <c r="F101" s="857" t="inlineStr">
        <is>
          <t>【家】ターゲット1400（毎週テスト）</t>
        </is>
      </c>
      <c r="G101" s="857" t="inlineStr">
        <is>
          <t>←</t>
        </is>
      </c>
      <c r="H101" s="857" t="inlineStr">
        <is>
          <t>←</t>
        </is>
      </c>
      <c r="I101" s="857" t="inlineStr">
        <is>
          <t>←</t>
        </is>
      </c>
      <c r="J101" s="857" t="inlineStr">
        <is>
          <t>←</t>
        </is>
      </c>
      <c r="K101" s="857" t="inlineStr">
        <is>
          <t>←</t>
        </is>
      </c>
      <c r="L101" s="857" t="inlineStr">
        <is>
          <t>←</t>
        </is>
      </c>
      <c r="M101" s="857" t="inlineStr">
        <is>
          <t>←</t>
        </is>
      </c>
      <c r="N101" s="857" t="inlineStr">
        <is>
          <t>←</t>
        </is>
      </c>
      <c r="O101" s="857" t="inlineStr">
        <is>
          <t>←</t>
        </is>
      </c>
      <c r="P101" s="857" t="inlineStr">
        <is>
          <t>←</t>
        </is>
      </c>
      <c r="Q101" s="857" t="inlineStr">
        <is>
          <t>【家】ターゲット1400仕上げ→1900＋共通テスト過去問</t>
        </is>
      </c>
      <c r="R101" s="857" t="inlineStr">
        <is>
          <t>←</t>
        </is>
      </c>
      <c r="S101" s="857" t="inlineStr">
        <is>
          <t>←</t>
        </is>
      </c>
      <c r="T101" s="857" t="inlineStr">
        <is>
          <t>←</t>
        </is>
      </c>
      <c r="U101" s="857" t="inlineStr">
        <is>
          <t>【家】{志望校}過去問</t>
        </is>
      </c>
      <c r="V101" s="857" t="inlineStr">
        <is>
          <t>←</t>
        </is>
      </c>
    </row>
    <row r="102">
      <c r="A102" s="856" t="inlineStr">
        <is>
          <t>国立理系|英語|標準|講座</t>
        </is>
      </c>
      <c r="B102" s="856" t="inlineStr">
        <is>
          <t>国立理系</t>
        </is>
      </c>
      <c r="C102" s="856" t="inlineStr">
        <is>
          <t>英語</t>
        </is>
      </c>
      <c r="D102" s="856" t="inlineStr">
        <is>
          <t>標準</t>
        </is>
      </c>
      <c r="E102" s="856" t="inlineStr">
        <is>
          <t>講座</t>
        </is>
      </c>
      <c r="F102" s="856" t="n"/>
      <c r="G102" s="856" t="inlineStr">
        <is>
          <t>入試標準英語</t>
        </is>
      </c>
      <c r="H102" s="856" t="inlineStr">
        <is>
          <t>←</t>
        </is>
      </c>
      <c r="I102" s="856" t="inlineStr">
        <is>
          <t>←</t>
        </is>
      </c>
      <c r="J102" s="856" t="inlineStr">
        <is>
          <t>←</t>
        </is>
      </c>
      <c r="K102" s="856" t="inlineStr">
        <is>
          <t>←</t>
        </is>
      </c>
      <c r="L102" s="856" t="inlineStr">
        <is>
          <t>←</t>
        </is>
      </c>
      <c r="M102" s="856" t="inlineStr">
        <is>
          <t>←</t>
        </is>
      </c>
      <c r="N102" s="856" t="inlineStr">
        <is>
          <t>←</t>
        </is>
      </c>
      <c r="O102" s="856" t="inlineStr">
        <is>
          <t>夏期講習</t>
        </is>
      </c>
      <c r="P102" s="856" t="inlineStr">
        <is>
          <t>←</t>
        </is>
      </c>
      <c r="Q102" s="856" t="inlineStr">
        <is>
          <t>入試標準英語</t>
        </is>
      </c>
      <c r="R102" s="856" t="inlineStr">
        <is>
          <t>←</t>
        </is>
      </c>
      <c r="S102" s="856" t="inlineStr">
        <is>
          <t>←</t>
        </is>
      </c>
      <c r="T102" s="856" t="inlineStr">
        <is>
          <t>←</t>
        </is>
      </c>
      <c r="U102" s="856" t="inlineStr">
        <is>
          <t>直前講習</t>
        </is>
      </c>
      <c r="V102" s="856" t="inlineStr">
        <is>
          <t>←</t>
        </is>
      </c>
    </row>
    <row r="103">
      <c r="A103" s="857" t="inlineStr">
        <is>
          <t>国立理系|英語|標準|回</t>
        </is>
      </c>
      <c r="B103" s="857" t="inlineStr">
        <is>
          <t>国立理系</t>
        </is>
      </c>
      <c r="C103" s="857" t="inlineStr">
        <is>
          <t>英語</t>
        </is>
      </c>
      <c r="D103" s="857" t="inlineStr">
        <is>
          <t>標準</t>
        </is>
      </c>
      <c r="E103" s="857" t="inlineStr">
        <is>
          <t>回</t>
        </is>
      </c>
      <c r="F103" s="857" t="n"/>
      <c r="G103" s="857" t="inlineStr">
        <is>
          <t>練成1</t>
        </is>
      </c>
      <c r="H103" s="857" t="inlineStr">
        <is>
          <t>練成2</t>
        </is>
      </c>
      <c r="I103" s="857" t="inlineStr">
        <is>
          <t>練成3</t>
        </is>
      </c>
      <c r="J103" s="857" t="inlineStr">
        <is>
          <t>練成4</t>
        </is>
      </c>
      <c r="K103" s="857" t="inlineStr">
        <is>
          <t>練成5</t>
        </is>
      </c>
      <c r="L103" s="857" t="inlineStr">
        <is>
          <t>練成6</t>
        </is>
      </c>
      <c r="M103" s="857" t="inlineStr">
        <is>
          <t>練成7</t>
        </is>
      </c>
      <c r="N103" s="857" t="inlineStr">
        <is>
          <t>練成8</t>
        </is>
      </c>
      <c r="O103" s="857" t="inlineStr">
        <is>
          <t>夏期1</t>
        </is>
      </c>
      <c r="P103" s="857" t="inlineStr">
        <is>
          <t>夏期2</t>
        </is>
      </c>
      <c r="Q103" s="857" t="inlineStr">
        <is>
          <t>実戦1</t>
        </is>
      </c>
      <c r="R103" s="857" t="inlineStr">
        <is>
          <t>実戦2</t>
        </is>
      </c>
      <c r="S103" s="857" t="inlineStr">
        <is>
          <t>実戦3</t>
        </is>
      </c>
      <c r="T103" s="857" t="inlineStr">
        <is>
          <t>実戦4</t>
        </is>
      </c>
      <c r="U103" s="857" t="inlineStr">
        <is>
          <t>直前1</t>
        </is>
      </c>
      <c r="V103" s="857" t="inlineStr">
        <is>
          <t>※</t>
        </is>
      </c>
    </row>
    <row r="104">
      <c r="A104" s="857" t="inlineStr">
        <is>
          <t>国立理系|英語|標準|塾</t>
        </is>
      </c>
      <c r="B104" s="857" t="inlineStr">
        <is>
          <t>国立理系</t>
        </is>
      </c>
      <c r="C104" s="857" t="inlineStr">
        <is>
          <t>英語</t>
        </is>
      </c>
      <c r="D104" s="857" t="inlineStr">
        <is>
          <t>標準</t>
        </is>
      </c>
      <c r="E104" s="857" t="inlineStr">
        <is>
          <t>塾</t>
        </is>
      </c>
      <c r="F104" s="857" t="inlineStr">
        <is>
          <t>【塾】英文法・語法 Vintage</t>
        </is>
      </c>
      <c r="G104" s="857" t="inlineStr">
        <is>
          <t>←</t>
        </is>
      </c>
      <c r="H104" s="857" t="inlineStr">
        <is>
          <t>←</t>
        </is>
      </c>
      <c r="I104" s="857" t="inlineStr">
        <is>
          <t>←</t>
        </is>
      </c>
      <c r="J104" s="857" t="inlineStr">
        <is>
          <t>【塾】入門英文解釈の技術70（精読）</t>
        </is>
      </c>
      <c r="K104" s="857" t="inlineStr">
        <is>
          <t>←</t>
        </is>
      </c>
      <c r="L104" s="857" t="inlineStr">
        <is>
          <t>←</t>
        </is>
      </c>
      <c r="M104" s="857" t="inlineStr">
        <is>
          <t>←</t>
        </is>
      </c>
      <c r="N104" s="857" t="inlineStr">
        <is>
          <t>←</t>
        </is>
      </c>
      <c r="O104" s="857" t="inlineStr">
        <is>
          <t>←</t>
        </is>
      </c>
      <c r="P104" s="857" t="inlineStr">
        <is>
          <t>←</t>
        </is>
      </c>
      <c r="Q104" s="857" t="inlineStr">
        <is>
          <t>【塾】やっておきたい英語長文500</t>
        </is>
      </c>
      <c r="R104" s="857" t="inlineStr">
        <is>
          <t>←</t>
        </is>
      </c>
      <c r="S104" s="857" t="inlineStr">
        <is>
          <t>←</t>
        </is>
      </c>
      <c r="T104" s="857" t="inlineStr">
        <is>
          <t>←</t>
        </is>
      </c>
      <c r="U104" s="857" t="inlineStr">
        <is>
          <t>【塾】{志望校}過去問</t>
        </is>
      </c>
      <c r="V104" s="857" t="inlineStr">
        <is>
          <t>←</t>
        </is>
      </c>
    </row>
    <row r="105">
      <c r="A105" s="857" t="inlineStr">
        <is>
          <t>国立理系|英語|標準|家</t>
        </is>
      </c>
      <c r="B105" s="857" t="inlineStr">
        <is>
          <t>国立理系</t>
        </is>
      </c>
      <c r="C105" s="857" t="inlineStr">
        <is>
          <t>英語</t>
        </is>
      </c>
      <c r="D105" s="857" t="inlineStr">
        <is>
          <t>標準</t>
        </is>
      </c>
      <c r="E105" s="857" t="inlineStr">
        <is>
          <t>家</t>
        </is>
      </c>
      <c r="F105" s="857" t="inlineStr">
        <is>
          <t>【家】ターゲット1900（毎週テスト）</t>
        </is>
      </c>
      <c r="G105" s="857" t="inlineStr">
        <is>
          <t>←</t>
        </is>
      </c>
      <c r="H105" s="857" t="inlineStr">
        <is>
          <t>←</t>
        </is>
      </c>
      <c r="I105" s="857" t="inlineStr">
        <is>
          <t>←</t>
        </is>
      </c>
      <c r="J105" s="857" t="inlineStr">
        <is>
          <t>【家】ターゲット1900＋解体英熟語</t>
        </is>
      </c>
      <c r="K105" s="857" t="inlineStr">
        <is>
          <t>←</t>
        </is>
      </c>
      <c r="L105" s="857" t="inlineStr">
        <is>
          <t>←</t>
        </is>
      </c>
      <c r="M105" s="857" t="inlineStr">
        <is>
          <t>←</t>
        </is>
      </c>
      <c r="N105" s="857" t="inlineStr">
        <is>
          <t>←</t>
        </is>
      </c>
      <c r="O105" s="857" t="inlineStr">
        <is>
          <t>←</t>
        </is>
      </c>
      <c r="P105" s="857" t="inlineStr">
        <is>
          <t>←</t>
        </is>
      </c>
      <c r="Q105" s="857" t="inlineStr">
        <is>
          <t>【家】ターゲット1900仕上げ＋共通テスト過去問</t>
        </is>
      </c>
      <c r="R105" s="857" t="inlineStr">
        <is>
          <t>←</t>
        </is>
      </c>
      <c r="S105" s="857" t="inlineStr">
        <is>
          <t>←</t>
        </is>
      </c>
      <c r="T105" s="857" t="inlineStr">
        <is>
          <t>←</t>
        </is>
      </c>
      <c r="U105" s="857" t="inlineStr">
        <is>
          <t>【家】{志望校}過去問</t>
        </is>
      </c>
      <c r="V105" s="857" t="inlineStr">
        <is>
          <t>←</t>
        </is>
      </c>
    </row>
    <row r="106">
      <c r="A106" s="856" t="inlineStr">
        <is>
          <t>国立理系|英語|難関|講座</t>
        </is>
      </c>
      <c r="B106" s="856" t="inlineStr">
        <is>
          <t>国立理系</t>
        </is>
      </c>
      <c r="C106" s="856" t="inlineStr">
        <is>
          <t>英語</t>
        </is>
      </c>
      <c r="D106" s="856" t="inlineStr">
        <is>
          <t>難関</t>
        </is>
      </c>
      <c r="E106" s="856" t="inlineStr">
        <is>
          <t>講座</t>
        </is>
      </c>
      <c r="F106" s="856" t="n"/>
      <c r="G106" s="856" t="inlineStr">
        <is>
          <t>G3EK　難関国公立大英語</t>
        </is>
      </c>
      <c r="H106" s="856" t="inlineStr">
        <is>
          <t>←</t>
        </is>
      </c>
      <c r="I106" s="856" t="inlineStr">
        <is>
          <t>←</t>
        </is>
      </c>
      <c r="J106" s="856" t="inlineStr">
        <is>
          <t>←</t>
        </is>
      </c>
      <c r="K106" s="856" t="inlineStr">
        <is>
          <t>←</t>
        </is>
      </c>
      <c r="L106" s="856" t="inlineStr">
        <is>
          <t>←</t>
        </is>
      </c>
      <c r="M106" s="856" t="inlineStr">
        <is>
          <t>←</t>
        </is>
      </c>
      <c r="N106" s="856" t="inlineStr">
        <is>
          <t>←</t>
        </is>
      </c>
      <c r="O106" s="856" t="inlineStr">
        <is>
          <t>NG3EK</t>
        </is>
      </c>
      <c r="P106" s="856" t="inlineStr">
        <is>
          <t>←</t>
        </is>
      </c>
      <c r="Q106" s="856" t="inlineStr">
        <is>
          <t>G3EK　難関国公立大英語</t>
        </is>
      </c>
      <c r="R106" s="856" t="inlineStr">
        <is>
          <t>←</t>
        </is>
      </c>
      <c r="S106" s="856" t="inlineStr">
        <is>
          <t>←</t>
        </is>
      </c>
      <c r="T106" s="856" t="inlineStr">
        <is>
          <t>←</t>
        </is>
      </c>
      <c r="U106" s="856" t="inlineStr">
        <is>
          <t>FG3EK</t>
        </is>
      </c>
      <c r="V106" s="856" t="inlineStr">
        <is>
          <t>←</t>
        </is>
      </c>
    </row>
    <row r="107">
      <c r="A107" s="857" t="inlineStr">
        <is>
          <t>国立理系|英語|難関|回</t>
        </is>
      </c>
      <c r="B107" s="857" t="inlineStr">
        <is>
          <t>国立理系</t>
        </is>
      </c>
      <c r="C107" s="857" t="inlineStr">
        <is>
          <t>英語</t>
        </is>
      </c>
      <c r="D107" s="857" t="inlineStr">
        <is>
          <t>難関</t>
        </is>
      </c>
      <c r="E107" s="857" t="inlineStr">
        <is>
          <t>回</t>
        </is>
      </c>
      <c r="F107" s="857" t="n"/>
      <c r="G107" s="857" t="inlineStr">
        <is>
          <t>練成1</t>
        </is>
      </c>
      <c r="H107" s="857" t="inlineStr">
        <is>
          <t>練成2</t>
        </is>
      </c>
      <c r="I107" s="857" t="inlineStr">
        <is>
          <t>練成3</t>
        </is>
      </c>
      <c r="J107" s="857" t="inlineStr">
        <is>
          <t>練成4</t>
        </is>
      </c>
      <c r="K107" s="857" t="inlineStr">
        <is>
          <t>練成5</t>
        </is>
      </c>
      <c r="L107" s="857" t="inlineStr">
        <is>
          <t>練成6</t>
        </is>
      </c>
      <c r="M107" s="857" t="inlineStr">
        <is>
          <t>練成7</t>
        </is>
      </c>
      <c r="N107" s="857" t="inlineStr">
        <is>
          <t>練成8</t>
        </is>
      </c>
      <c r="O107" s="857" t="inlineStr">
        <is>
          <t>夏期1</t>
        </is>
      </c>
      <c r="P107" s="857" t="inlineStr">
        <is>
          <t>※</t>
        </is>
      </c>
      <c r="Q107" s="857" t="inlineStr">
        <is>
          <t>実戦1</t>
        </is>
      </c>
      <c r="R107" s="857" t="inlineStr">
        <is>
          <t>実戦2</t>
        </is>
      </c>
      <c r="S107" s="857" t="inlineStr">
        <is>
          <t>実戦3</t>
        </is>
      </c>
      <c r="T107" s="857" t="inlineStr">
        <is>
          <t>実戦4</t>
        </is>
      </c>
      <c r="U107" s="857" t="inlineStr">
        <is>
          <t>直前1</t>
        </is>
      </c>
      <c r="V107" s="857" t="inlineStr">
        <is>
          <t>※</t>
        </is>
      </c>
    </row>
    <row r="108">
      <c r="A108" s="857" t="inlineStr">
        <is>
          <t>国立理系|英語|難関|塾</t>
        </is>
      </c>
      <c r="B108" s="857" t="inlineStr">
        <is>
          <t>国立理系</t>
        </is>
      </c>
      <c r="C108" s="857" t="inlineStr">
        <is>
          <t>英語</t>
        </is>
      </c>
      <c r="D108" s="857" t="inlineStr">
        <is>
          <t>難関</t>
        </is>
      </c>
      <c r="E108" s="857" t="inlineStr">
        <is>
          <t>塾</t>
        </is>
      </c>
      <c r="F108" s="857" t="inlineStr">
        <is>
          <t>【塾】英文法・語法 Vintage</t>
        </is>
      </c>
      <c r="G108" s="857" t="inlineStr">
        <is>
          <t>←</t>
        </is>
      </c>
      <c r="H108" s="857" t="inlineStr">
        <is>
          <t>←</t>
        </is>
      </c>
      <c r="I108" s="857" t="inlineStr">
        <is>
          <t>←</t>
        </is>
      </c>
      <c r="J108" s="857" t="inlineStr">
        <is>
          <t>【塾】ポレポレ英文読解プロセス50（精読・和訳）</t>
        </is>
      </c>
      <c r="K108" s="857" t="inlineStr">
        <is>
          <t>←</t>
        </is>
      </c>
      <c r="L108" s="857" t="inlineStr">
        <is>
          <t>←</t>
        </is>
      </c>
      <c r="M108" s="857" t="inlineStr">
        <is>
          <t>←</t>
        </is>
      </c>
      <c r="N108" s="857" t="inlineStr">
        <is>
          <t>←</t>
        </is>
      </c>
      <c r="O108" s="857" t="inlineStr">
        <is>
          <t>←</t>
        </is>
      </c>
      <c r="P108" s="857" t="inlineStr">
        <is>
          <t>←</t>
        </is>
      </c>
      <c r="Q108" s="857" t="inlineStr">
        <is>
          <t>【塾】やっておきたい英語長文500（内容説明・要約）</t>
        </is>
      </c>
      <c r="R108" s="857" t="inlineStr">
        <is>
          <t>←</t>
        </is>
      </c>
      <c r="S108" s="857" t="inlineStr">
        <is>
          <t>←</t>
        </is>
      </c>
      <c r="T108" s="857" t="inlineStr">
        <is>
          <t>←</t>
        </is>
      </c>
      <c r="U108" s="857" t="inlineStr">
        <is>
          <t>【塾】{志望校}過去問</t>
        </is>
      </c>
      <c r="V108" s="857" t="inlineStr">
        <is>
          <t>←</t>
        </is>
      </c>
    </row>
    <row r="109">
      <c r="A109" s="857" t="inlineStr">
        <is>
          <t>国立理系|英語|難関|家</t>
        </is>
      </c>
      <c r="B109" s="857" t="inlineStr">
        <is>
          <t>国立理系</t>
        </is>
      </c>
      <c r="C109" s="857" t="inlineStr">
        <is>
          <t>英語</t>
        </is>
      </c>
      <c r="D109" s="857" t="inlineStr">
        <is>
          <t>難関</t>
        </is>
      </c>
      <c r="E109" s="857" t="inlineStr">
        <is>
          <t>家</t>
        </is>
      </c>
      <c r="F109" s="857" t="inlineStr">
        <is>
          <t>【家】ターゲット1900（毎週テスト）</t>
        </is>
      </c>
      <c r="G109" s="857" t="inlineStr">
        <is>
          <t>←</t>
        </is>
      </c>
      <c r="H109" s="857" t="inlineStr">
        <is>
          <t>←</t>
        </is>
      </c>
      <c r="I109" s="857" t="inlineStr">
        <is>
          <t>←</t>
        </is>
      </c>
      <c r="J109" s="857" t="inlineStr">
        <is>
          <t>【家】ターゲット1900＋ドラゴン・イングリッシュ基本英文100</t>
        </is>
      </c>
      <c r="K109" s="857" t="inlineStr">
        <is>
          <t>←</t>
        </is>
      </c>
      <c r="L109" s="857" t="inlineStr">
        <is>
          <t>←</t>
        </is>
      </c>
      <c r="M109" s="857" t="inlineStr">
        <is>
          <t>←</t>
        </is>
      </c>
      <c r="N109" s="857" t="inlineStr">
        <is>
          <t>←</t>
        </is>
      </c>
      <c r="O109" s="857" t="inlineStr">
        <is>
          <t>←</t>
        </is>
      </c>
      <c r="P109" s="857" t="inlineStr">
        <is>
          <t>←</t>
        </is>
      </c>
      <c r="Q109" s="857" t="inlineStr">
        <is>
          <t>【家】ターゲット1900仕上げ＋共通テスト過去問</t>
        </is>
      </c>
      <c r="R109" s="857" t="inlineStr">
        <is>
          <t>←</t>
        </is>
      </c>
      <c r="S109" s="857" t="inlineStr">
        <is>
          <t>←</t>
        </is>
      </c>
      <c r="T109" s="857" t="inlineStr">
        <is>
          <t>←</t>
        </is>
      </c>
      <c r="U109" s="857" t="inlineStr">
        <is>
          <t>【家】{志望校}過去問</t>
        </is>
      </c>
      <c r="V109" s="857" t="inlineStr">
        <is>
          <t>←</t>
        </is>
      </c>
    </row>
    <row r="110">
      <c r="A110" s="856" t="inlineStr">
        <is>
          <t>国立理系|数学|基礎|講座</t>
        </is>
      </c>
      <c r="B110" s="856" t="inlineStr">
        <is>
          <t>国立理系</t>
        </is>
      </c>
      <c r="C110" s="856" t="inlineStr">
        <is>
          <t>数学</t>
        </is>
      </c>
      <c r="D110" s="856" t="inlineStr">
        <is>
          <t>基礎</t>
        </is>
      </c>
      <c r="E110" s="856" t="inlineStr">
        <is>
          <t>講座</t>
        </is>
      </c>
      <c r="F110" s="856" t="n"/>
      <c r="G110" s="856" t="inlineStr">
        <is>
          <t>基礎数学ⅠA・ⅡB・C・Ⅲ</t>
        </is>
      </c>
      <c r="H110" s="856" t="inlineStr">
        <is>
          <t>←</t>
        </is>
      </c>
      <c r="I110" s="856" t="inlineStr">
        <is>
          <t>←</t>
        </is>
      </c>
      <c r="J110" s="856" t="inlineStr">
        <is>
          <t>←</t>
        </is>
      </c>
      <c r="K110" s="856" t="inlineStr">
        <is>
          <t>←</t>
        </is>
      </c>
      <c r="L110" s="856" t="inlineStr">
        <is>
          <t>←</t>
        </is>
      </c>
      <c r="M110" s="856" t="inlineStr">
        <is>
          <t>←</t>
        </is>
      </c>
      <c r="N110" s="856" t="inlineStr">
        <is>
          <t>←</t>
        </is>
      </c>
      <c r="O110" s="856" t="inlineStr">
        <is>
          <t>夏期講習</t>
        </is>
      </c>
      <c r="P110" s="856" t="inlineStr">
        <is>
          <t>←</t>
        </is>
      </c>
      <c r="Q110" s="856" t="inlineStr">
        <is>
          <t>基礎数学ⅠA・ⅡB・C・Ⅲ</t>
        </is>
      </c>
      <c r="R110" s="856" t="inlineStr">
        <is>
          <t>←</t>
        </is>
      </c>
      <c r="S110" s="856" t="inlineStr">
        <is>
          <t>←</t>
        </is>
      </c>
      <c r="T110" s="856" t="inlineStr">
        <is>
          <t>←</t>
        </is>
      </c>
      <c r="U110" s="856" t="inlineStr">
        <is>
          <t>直前講習</t>
        </is>
      </c>
      <c r="V110" s="856" t="inlineStr">
        <is>
          <t>←</t>
        </is>
      </c>
    </row>
    <row r="111">
      <c r="A111" s="857" t="inlineStr">
        <is>
          <t>国立理系|数学|基礎|回</t>
        </is>
      </c>
      <c r="B111" s="857" t="inlineStr">
        <is>
          <t>国立理系</t>
        </is>
      </c>
      <c r="C111" s="857" t="inlineStr">
        <is>
          <t>数学</t>
        </is>
      </c>
      <c r="D111" s="857" t="inlineStr">
        <is>
          <t>基礎</t>
        </is>
      </c>
      <c r="E111" s="857" t="inlineStr">
        <is>
          <t>回</t>
        </is>
      </c>
      <c r="F111" s="857" t="n"/>
      <c r="G111" s="857" t="inlineStr">
        <is>
          <t>練成1</t>
        </is>
      </c>
      <c r="H111" s="857" t="inlineStr">
        <is>
          <t>練成2</t>
        </is>
      </c>
      <c r="I111" s="857" t="inlineStr">
        <is>
          <t>練成3</t>
        </is>
      </c>
      <c r="J111" s="857" t="inlineStr">
        <is>
          <t>練成4</t>
        </is>
      </c>
      <c r="K111" s="857" t="inlineStr">
        <is>
          <t>練成5</t>
        </is>
      </c>
      <c r="L111" s="857" t="inlineStr">
        <is>
          <t>練成6</t>
        </is>
      </c>
      <c r="M111" s="857" t="inlineStr">
        <is>
          <t>練成7</t>
        </is>
      </c>
      <c r="N111" s="857" t="inlineStr">
        <is>
          <t>練成8</t>
        </is>
      </c>
      <c r="O111" s="857" t="inlineStr">
        <is>
          <t>夏期1</t>
        </is>
      </c>
      <c r="P111" s="857" t="inlineStr">
        <is>
          <t>夏期2</t>
        </is>
      </c>
      <c r="Q111" s="857" t="inlineStr">
        <is>
          <t>実戦1</t>
        </is>
      </c>
      <c r="R111" s="857" t="inlineStr">
        <is>
          <t>実戦2</t>
        </is>
      </c>
      <c r="S111" s="857" t="inlineStr">
        <is>
          <t>実戦3</t>
        </is>
      </c>
      <c r="T111" s="857" t="inlineStr">
        <is>
          <t>実戦4</t>
        </is>
      </c>
      <c r="U111" s="857" t="inlineStr">
        <is>
          <t>直前1</t>
        </is>
      </c>
      <c r="V111" s="857" t="inlineStr">
        <is>
          <t>※</t>
        </is>
      </c>
    </row>
    <row r="112">
      <c r="A112" s="857" t="inlineStr">
        <is>
          <t>国立理系|数学|基礎|塾</t>
        </is>
      </c>
      <c r="B112" s="857" t="inlineStr">
        <is>
          <t>国立理系</t>
        </is>
      </c>
      <c r="C112" s="857" t="inlineStr">
        <is>
          <t>数学</t>
        </is>
      </c>
      <c r="D112" s="857" t="inlineStr">
        <is>
          <t>基礎</t>
        </is>
      </c>
      <c r="E112" s="857" t="inlineStr">
        <is>
          <t>塾</t>
        </is>
      </c>
      <c r="F112" s="857" t="inlineStr">
        <is>
          <t>【塾】黄チャート ⅠA・ⅡBC → 数学Ⅲ（例題）</t>
        </is>
      </c>
      <c r="G112" s="857" t="inlineStr">
        <is>
          <t>←</t>
        </is>
      </c>
      <c r="H112" s="857" t="inlineStr">
        <is>
          <t>←</t>
        </is>
      </c>
      <c r="I112" s="857" t="inlineStr">
        <is>
          <t>←</t>
        </is>
      </c>
      <c r="J112" s="857" t="inlineStr">
        <is>
          <t>←</t>
        </is>
      </c>
      <c r="K112" s="857" t="inlineStr">
        <is>
          <t>←</t>
        </is>
      </c>
      <c r="L112" s="857" t="inlineStr">
        <is>
          <t>←</t>
        </is>
      </c>
      <c r="M112" s="857" t="inlineStr">
        <is>
          <t>←</t>
        </is>
      </c>
      <c r="N112" s="857" t="inlineStr">
        <is>
          <t>←</t>
        </is>
      </c>
      <c r="O112" s="857" t="inlineStr">
        <is>
          <t>←</t>
        </is>
      </c>
      <c r="P112" s="857" t="inlineStr">
        <is>
          <t>←</t>
        </is>
      </c>
      <c r="Q112" s="857" t="inlineStr">
        <is>
          <t>【塾】黄チャート（重要例題）＋共通テスト対策</t>
        </is>
      </c>
      <c r="R112" s="857" t="inlineStr">
        <is>
          <t>←</t>
        </is>
      </c>
      <c r="S112" s="857" t="inlineStr">
        <is>
          <t>←</t>
        </is>
      </c>
      <c r="T112" s="857" t="inlineStr">
        <is>
          <t>←</t>
        </is>
      </c>
      <c r="U112" s="857" t="inlineStr">
        <is>
          <t>【塾】{志望校}過去問</t>
        </is>
      </c>
      <c r="V112" s="857" t="inlineStr">
        <is>
          <t>←</t>
        </is>
      </c>
    </row>
    <row r="113">
      <c r="A113" s="857" t="inlineStr">
        <is>
          <t>国立理系|数学|基礎|家</t>
        </is>
      </c>
      <c r="B113" s="857" t="inlineStr">
        <is>
          <t>国立理系</t>
        </is>
      </c>
      <c r="C113" s="857" t="inlineStr">
        <is>
          <t>数学</t>
        </is>
      </c>
      <c r="D113" s="857" t="inlineStr">
        <is>
          <t>基礎</t>
        </is>
      </c>
      <c r="E113" s="857" t="inlineStr">
        <is>
          <t>家</t>
        </is>
      </c>
      <c r="F113" s="857" t="inlineStr">
        <is>
          <t>【家】入試数学の基礎問題精講 ⅠA・ⅡBC・Ⅲ（例題のみ）</t>
        </is>
      </c>
      <c r="G113" s="857" t="inlineStr">
        <is>
          <t>←</t>
        </is>
      </c>
      <c r="H113" s="857" t="inlineStr">
        <is>
          <t>←</t>
        </is>
      </c>
      <c r="I113" s="857" t="inlineStr">
        <is>
          <t>←</t>
        </is>
      </c>
      <c r="J113" s="857" t="inlineStr">
        <is>
          <t>←</t>
        </is>
      </c>
      <c r="K113" s="857" t="inlineStr">
        <is>
          <t>←</t>
        </is>
      </c>
      <c r="L113" s="857" t="inlineStr">
        <is>
          <t>←</t>
        </is>
      </c>
      <c r="M113" s="857" t="inlineStr">
        <is>
          <t>←</t>
        </is>
      </c>
      <c r="N113" s="857" t="inlineStr">
        <is>
          <t>←</t>
        </is>
      </c>
      <c r="O113" s="857" t="inlineStr">
        <is>
          <t>←</t>
        </is>
      </c>
      <c r="P113" s="857" t="inlineStr">
        <is>
          <t>←</t>
        </is>
      </c>
      <c r="Q113" s="857" t="inlineStr">
        <is>
          <t>【家】共通テスト過去問（数学）</t>
        </is>
      </c>
      <c r="R113" s="857" t="inlineStr">
        <is>
          <t>←</t>
        </is>
      </c>
      <c r="S113" s="857" t="inlineStr">
        <is>
          <t>←</t>
        </is>
      </c>
      <c r="T113" s="857" t="inlineStr">
        <is>
          <t>←</t>
        </is>
      </c>
      <c r="U113" s="857" t="inlineStr">
        <is>
          <t>【家】{志望校}過去問</t>
        </is>
      </c>
      <c r="V113" s="857" t="inlineStr">
        <is>
          <t>←</t>
        </is>
      </c>
    </row>
    <row r="114">
      <c r="A114" s="856" t="inlineStr">
        <is>
          <t>国立理系|数学|標準|講座</t>
        </is>
      </c>
      <c r="B114" s="856" t="inlineStr">
        <is>
          <t>国立理系</t>
        </is>
      </c>
      <c r="C114" s="856" t="inlineStr">
        <is>
          <t>数学</t>
        </is>
      </c>
      <c r="D114" s="856" t="inlineStr">
        <is>
          <t>標準</t>
        </is>
      </c>
      <c r="E114" s="856" t="inlineStr">
        <is>
          <t>講座</t>
        </is>
      </c>
      <c r="F114" s="856" t="n"/>
      <c r="G114" s="856" t="inlineStr">
        <is>
          <t>標準数学ⅠA・ⅡB・C・Ⅲ</t>
        </is>
      </c>
      <c r="H114" s="856" t="inlineStr">
        <is>
          <t>←</t>
        </is>
      </c>
      <c r="I114" s="856" t="inlineStr">
        <is>
          <t>←</t>
        </is>
      </c>
      <c r="J114" s="856" t="inlineStr">
        <is>
          <t>←</t>
        </is>
      </c>
      <c r="K114" s="856" t="inlineStr">
        <is>
          <t>←</t>
        </is>
      </c>
      <c r="L114" s="856" t="inlineStr">
        <is>
          <t>←</t>
        </is>
      </c>
      <c r="M114" s="856" t="inlineStr">
        <is>
          <t>←</t>
        </is>
      </c>
      <c r="N114" s="856" t="inlineStr">
        <is>
          <t>←</t>
        </is>
      </c>
      <c r="O114" s="856" t="inlineStr">
        <is>
          <t>夏期講習</t>
        </is>
      </c>
      <c r="P114" s="856" t="inlineStr">
        <is>
          <t>←</t>
        </is>
      </c>
      <c r="Q114" s="856" t="inlineStr">
        <is>
          <t>標準数学ⅠA・ⅡB・C・Ⅲ</t>
        </is>
      </c>
      <c r="R114" s="856" t="inlineStr">
        <is>
          <t>←</t>
        </is>
      </c>
      <c r="S114" s="856" t="inlineStr">
        <is>
          <t>←</t>
        </is>
      </c>
      <c r="T114" s="856" t="inlineStr">
        <is>
          <t>←</t>
        </is>
      </c>
      <c r="U114" s="856" t="inlineStr">
        <is>
          <t>直前講習</t>
        </is>
      </c>
      <c r="V114" s="856" t="inlineStr">
        <is>
          <t>←</t>
        </is>
      </c>
    </row>
    <row r="115">
      <c r="A115" s="857" t="inlineStr">
        <is>
          <t>国立理系|数学|標準|回</t>
        </is>
      </c>
      <c r="B115" s="857" t="inlineStr">
        <is>
          <t>国立理系</t>
        </is>
      </c>
      <c r="C115" s="857" t="inlineStr">
        <is>
          <t>数学</t>
        </is>
      </c>
      <c r="D115" s="857" t="inlineStr">
        <is>
          <t>標準</t>
        </is>
      </c>
      <c r="E115" s="857" t="inlineStr">
        <is>
          <t>回</t>
        </is>
      </c>
      <c r="F115" s="857" t="n"/>
      <c r="G115" s="857" t="inlineStr">
        <is>
          <t>練成1</t>
        </is>
      </c>
      <c r="H115" s="857" t="inlineStr">
        <is>
          <t>練成2</t>
        </is>
      </c>
      <c r="I115" s="857" t="inlineStr">
        <is>
          <t>練成3</t>
        </is>
      </c>
      <c r="J115" s="857" t="inlineStr">
        <is>
          <t>練成4</t>
        </is>
      </c>
      <c r="K115" s="857" t="inlineStr">
        <is>
          <t>練成5</t>
        </is>
      </c>
      <c r="L115" s="857" t="inlineStr">
        <is>
          <t>練成6</t>
        </is>
      </c>
      <c r="M115" s="857" t="inlineStr">
        <is>
          <t>練成7</t>
        </is>
      </c>
      <c r="N115" s="857" t="inlineStr">
        <is>
          <t>練成8</t>
        </is>
      </c>
      <c r="O115" s="857" t="inlineStr">
        <is>
          <t>夏期1</t>
        </is>
      </c>
      <c r="P115" s="857" t="inlineStr">
        <is>
          <t>夏期2</t>
        </is>
      </c>
      <c r="Q115" s="857" t="inlineStr">
        <is>
          <t>実戦1</t>
        </is>
      </c>
      <c r="R115" s="857" t="inlineStr">
        <is>
          <t>実戦2</t>
        </is>
      </c>
      <c r="S115" s="857" t="inlineStr">
        <is>
          <t>実戦3</t>
        </is>
      </c>
      <c r="T115" s="857" t="inlineStr">
        <is>
          <t>実戦4</t>
        </is>
      </c>
      <c r="U115" s="857" t="inlineStr">
        <is>
          <t>直前1</t>
        </is>
      </c>
      <c r="V115" s="857" t="inlineStr">
        <is>
          <t>※</t>
        </is>
      </c>
    </row>
    <row r="116">
      <c r="A116" s="857" t="inlineStr">
        <is>
          <t>国立理系|数学|標準|塾</t>
        </is>
      </c>
      <c r="B116" s="857" t="inlineStr">
        <is>
          <t>国立理系</t>
        </is>
      </c>
      <c r="C116" s="857" t="inlineStr">
        <is>
          <t>数学</t>
        </is>
      </c>
      <c r="D116" s="857" t="inlineStr">
        <is>
          <t>標準</t>
        </is>
      </c>
      <c r="E116" s="857" t="inlineStr">
        <is>
          <t>塾</t>
        </is>
      </c>
      <c r="F116" s="857" t="inlineStr">
        <is>
          <t>【塾】青チャート ⅠA・ⅡBC・Ⅲ（例題★3まで）</t>
        </is>
      </c>
      <c r="G116" s="857" t="inlineStr">
        <is>
          <t>←</t>
        </is>
      </c>
      <c r="H116" s="857" t="inlineStr">
        <is>
          <t>←</t>
        </is>
      </c>
      <c r="I116" s="857" t="inlineStr">
        <is>
          <t>←</t>
        </is>
      </c>
      <c r="J116" s="857" t="inlineStr">
        <is>
          <t>←</t>
        </is>
      </c>
      <c r="K116" s="857" t="inlineStr">
        <is>
          <t>←</t>
        </is>
      </c>
      <c r="L116" s="857" t="inlineStr">
        <is>
          <t>←</t>
        </is>
      </c>
      <c r="M116" s="857" t="inlineStr">
        <is>
          <t>←</t>
        </is>
      </c>
      <c r="N116" s="857" t="inlineStr">
        <is>
          <t>←</t>
        </is>
      </c>
      <c r="O116" s="857" t="inlineStr">
        <is>
          <t>←</t>
        </is>
      </c>
      <c r="P116" s="857" t="inlineStr">
        <is>
          <t>←</t>
        </is>
      </c>
      <c r="Q116" s="857" t="inlineStr">
        <is>
          <t>【塾】理系数学 入試の核心 標準編</t>
        </is>
      </c>
      <c r="R116" s="857" t="inlineStr">
        <is>
          <t>←</t>
        </is>
      </c>
      <c r="S116" s="857" t="inlineStr">
        <is>
          <t>←</t>
        </is>
      </c>
      <c r="T116" s="857" t="inlineStr">
        <is>
          <t>←</t>
        </is>
      </c>
      <c r="U116" s="857" t="inlineStr">
        <is>
          <t>【塾】{志望校}過去問</t>
        </is>
      </c>
      <c r="V116" s="857" t="inlineStr">
        <is>
          <t>←</t>
        </is>
      </c>
    </row>
    <row r="117">
      <c r="A117" s="857" t="inlineStr">
        <is>
          <t>国立理系|数学|標準|家</t>
        </is>
      </c>
      <c r="B117" s="857" t="inlineStr">
        <is>
          <t>国立理系</t>
        </is>
      </c>
      <c r="C117" s="857" t="inlineStr">
        <is>
          <t>数学</t>
        </is>
      </c>
      <c r="D117" s="857" t="inlineStr">
        <is>
          <t>標準</t>
        </is>
      </c>
      <c r="E117" s="857" t="inlineStr">
        <is>
          <t>家</t>
        </is>
      </c>
      <c r="F117" s="857" t="inlineStr">
        <is>
          <t>【家】入試数学の基礎問題精講 ⅠA・ⅡBC・Ⅲ（1冊10周）</t>
        </is>
      </c>
      <c r="G117" s="857" t="inlineStr">
        <is>
          <t>←</t>
        </is>
      </c>
      <c r="H117" s="857" t="inlineStr">
        <is>
          <t>←</t>
        </is>
      </c>
      <c r="I117" s="857" t="inlineStr">
        <is>
          <t>←</t>
        </is>
      </c>
      <c r="J117" s="857" t="inlineStr">
        <is>
          <t>←</t>
        </is>
      </c>
      <c r="K117" s="857" t="inlineStr">
        <is>
          <t>←</t>
        </is>
      </c>
      <c r="L117" s="857" t="inlineStr">
        <is>
          <t>←</t>
        </is>
      </c>
      <c r="M117" s="857" t="inlineStr">
        <is>
          <t>←</t>
        </is>
      </c>
      <c r="N117" s="857" t="inlineStr">
        <is>
          <t>←</t>
        </is>
      </c>
      <c r="O117" s="857" t="inlineStr">
        <is>
          <t>←</t>
        </is>
      </c>
      <c r="P117" s="857" t="inlineStr">
        <is>
          <t>←</t>
        </is>
      </c>
      <c r="Q117" s="857" t="inlineStr">
        <is>
          <t>【家】標準問題精講＋共通テスト過去問</t>
        </is>
      </c>
      <c r="R117" s="857" t="inlineStr">
        <is>
          <t>←</t>
        </is>
      </c>
      <c r="S117" s="857" t="inlineStr">
        <is>
          <t>←</t>
        </is>
      </c>
      <c r="T117" s="857" t="inlineStr">
        <is>
          <t>←</t>
        </is>
      </c>
      <c r="U117" s="857" t="inlineStr">
        <is>
          <t>【家】{志望校}過去問</t>
        </is>
      </c>
      <c r="V117" s="857" t="inlineStr">
        <is>
          <t>←</t>
        </is>
      </c>
    </row>
    <row r="118">
      <c r="A118" s="856" t="inlineStr">
        <is>
          <t>国立理系|数学|難関|講座</t>
        </is>
      </c>
      <c r="B118" s="856" t="inlineStr">
        <is>
          <t>国立理系</t>
        </is>
      </c>
      <c r="C118" s="856" t="inlineStr">
        <is>
          <t>数学</t>
        </is>
      </c>
      <c r="D118" s="856" t="inlineStr">
        <is>
          <t>難関</t>
        </is>
      </c>
      <c r="E118" s="856" t="inlineStr">
        <is>
          <t>講座</t>
        </is>
      </c>
      <c r="F118" s="856" t="n"/>
      <c r="G118" s="856" t="inlineStr">
        <is>
          <t>3NN　難関大数学ⅠA・ⅡB・C／数学Ⅲ</t>
        </is>
      </c>
      <c r="H118" s="856" t="inlineStr">
        <is>
          <t>←</t>
        </is>
      </c>
      <c r="I118" s="856" t="inlineStr">
        <is>
          <t>←</t>
        </is>
      </c>
      <c r="J118" s="856" t="inlineStr">
        <is>
          <t>←</t>
        </is>
      </c>
      <c r="K118" s="856" t="inlineStr">
        <is>
          <t>←</t>
        </is>
      </c>
      <c r="L118" s="856" t="inlineStr">
        <is>
          <t>←</t>
        </is>
      </c>
      <c r="M118" s="856" t="inlineStr">
        <is>
          <t>←</t>
        </is>
      </c>
      <c r="N118" s="856" t="inlineStr">
        <is>
          <t>←</t>
        </is>
      </c>
      <c r="O118" s="856" t="inlineStr">
        <is>
          <t>N3NN</t>
        </is>
      </c>
      <c r="P118" s="856" t="inlineStr">
        <is>
          <t>←</t>
        </is>
      </c>
      <c r="Q118" s="856" t="inlineStr">
        <is>
          <t>3NN　難関大数学ⅠA・ⅡB・C／数学Ⅲ</t>
        </is>
      </c>
      <c r="R118" s="856" t="inlineStr">
        <is>
          <t>←</t>
        </is>
      </c>
      <c r="S118" s="856" t="inlineStr">
        <is>
          <t>←</t>
        </is>
      </c>
      <c r="T118" s="856" t="inlineStr">
        <is>
          <t>←</t>
        </is>
      </c>
      <c r="U118" s="856" t="inlineStr">
        <is>
          <t>F3NN</t>
        </is>
      </c>
      <c r="V118" s="856" t="inlineStr">
        <is>
          <t>←</t>
        </is>
      </c>
    </row>
    <row r="119">
      <c r="A119" s="857" t="inlineStr">
        <is>
          <t>国立理系|数学|難関|回</t>
        </is>
      </c>
      <c r="B119" s="857" t="inlineStr">
        <is>
          <t>国立理系</t>
        </is>
      </c>
      <c r="C119" s="857" t="inlineStr">
        <is>
          <t>数学</t>
        </is>
      </c>
      <c r="D119" s="857" t="inlineStr">
        <is>
          <t>難関</t>
        </is>
      </c>
      <c r="E119" s="857" t="inlineStr">
        <is>
          <t>回</t>
        </is>
      </c>
      <c r="F119" s="857" t="n"/>
      <c r="G119" s="857" t="inlineStr">
        <is>
          <t>練成1</t>
        </is>
      </c>
      <c r="H119" s="857" t="inlineStr">
        <is>
          <t>練成2</t>
        </is>
      </c>
      <c r="I119" s="857" t="inlineStr">
        <is>
          <t>練成3・4</t>
        </is>
      </c>
      <c r="J119" s="857" t="inlineStr">
        <is>
          <t>練成5</t>
        </is>
      </c>
      <c r="K119" s="857" t="inlineStr">
        <is>
          <t>練成6</t>
        </is>
      </c>
      <c r="L119" s="857" t="inlineStr">
        <is>
          <t>練成7</t>
        </is>
      </c>
      <c r="M119" s="857" t="inlineStr">
        <is>
          <t>練成8</t>
        </is>
      </c>
      <c r="N119" s="857" t="inlineStr">
        <is>
          <t>練成9・10</t>
        </is>
      </c>
      <c r="O119" s="857" t="inlineStr">
        <is>
          <t>夏期1</t>
        </is>
      </c>
      <c r="P119" s="857" t="inlineStr">
        <is>
          <t>夏期2</t>
        </is>
      </c>
      <c r="Q119" s="857" t="inlineStr">
        <is>
          <t>実戦1</t>
        </is>
      </c>
      <c r="R119" s="857" t="inlineStr">
        <is>
          <t>実戦2</t>
        </is>
      </c>
      <c r="S119" s="857" t="inlineStr">
        <is>
          <t>実戦3</t>
        </is>
      </c>
      <c r="T119" s="857" t="inlineStr">
        <is>
          <t>実戦4</t>
        </is>
      </c>
      <c r="U119" s="857" t="inlineStr">
        <is>
          <t>直前1</t>
        </is>
      </c>
      <c r="V119" s="857" t="inlineStr">
        <is>
          <t>直前2</t>
        </is>
      </c>
    </row>
    <row r="120">
      <c r="A120" s="857" t="inlineStr">
        <is>
          <t>国立理系|数学|難関|塾</t>
        </is>
      </c>
      <c r="B120" s="857" t="inlineStr">
        <is>
          <t>国立理系</t>
        </is>
      </c>
      <c r="C120" s="857" t="inlineStr">
        <is>
          <t>数学</t>
        </is>
      </c>
      <c r="D120" s="857" t="inlineStr">
        <is>
          <t>難関</t>
        </is>
      </c>
      <c r="E120" s="857" t="inlineStr">
        <is>
          <t>塾</t>
        </is>
      </c>
      <c r="F120" s="857" t="inlineStr">
        <is>
          <t>【塾】青チャート ⅠA・ⅡBC・Ⅲ（例題★4まで）</t>
        </is>
      </c>
      <c r="G120" s="857" t="inlineStr">
        <is>
          <t>←</t>
        </is>
      </c>
      <c r="H120" s="857" t="inlineStr">
        <is>
          <t>←</t>
        </is>
      </c>
      <c r="I120" s="857" t="inlineStr">
        <is>
          <t>←</t>
        </is>
      </c>
      <c r="J120" s="857" t="inlineStr">
        <is>
          <t>←</t>
        </is>
      </c>
      <c r="K120" s="857" t="inlineStr">
        <is>
          <t>←</t>
        </is>
      </c>
      <c r="L120" s="857" t="inlineStr">
        <is>
          <t>←</t>
        </is>
      </c>
      <c r="M120" s="857" t="inlineStr">
        <is>
          <t>←</t>
        </is>
      </c>
      <c r="N120" s="857" t="inlineStr">
        <is>
          <t>←</t>
        </is>
      </c>
      <c r="O120" s="857" t="inlineStr">
        <is>
          <t>【塾】1対1対応の演習</t>
        </is>
      </c>
      <c r="P120" s="857" t="inlineStr">
        <is>
          <t>←</t>
        </is>
      </c>
      <c r="Q120" s="857" t="inlineStr">
        <is>
          <t>【塾】理系数学の良問プラチカ</t>
        </is>
      </c>
      <c r="R120" s="857" t="inlineStr">
        <is>
          <t>←</t>
        </is>
      </c>
      <c r="S120" s="857" t="inlineStr">
        <is>
          <t>←</t>
        </is>
      </c>
      <c r="T120" s="857" t="inlineStr">
        <is>
          <t>←</t>
        </is>
      </c>
      <c r="U120" s="857" t="inlineStr">
        <is>
          <t>【塾】{志望校}過去問</t>
        </is>
      </c>
      <c r="V120" s="857" t="inlineStr">
        <is>
          <t>←</t>
        </is>
      </c>
    </row>
    <row r="121">
      <c r="A121" s="857" t="inlineStr">
        <is>
          <t>国立理系|数学|難関|家</t>
        </is>
      </c>
      <c r="B121" s="857" t="inlineStr">
        <is>
          <t>国立理系</t>
        </is>
      </c>
      <c r="C121" s="857" t="inlineStr">
        <is>
          <t>数学</t>
        </is>
      </c>
      <c r="D121" s="857" t="inlineStr">
        <is>
          <t>難関</t>
        </is>
      </c>
      <c r="E121" s="857" t="inlineStr">
        <is>
          <t>家</t>
        </is>
      </c>
      <c r="F121" s="857" t="inlineStr">
        <is>
          <t>【家】入試数学の基礎問題精講 → 標準問題精講</t>
        </is>
      </c>
      <c r="G121" s="857" t="inlineStr">
        <is>
          <t>←</t>
        </is>
      </c>
      <c r="H121" s="857" t="inlineStr">
        <is>
          <t>←</t>
        </is>
      </c>
      <c r="I121" s="857" t="inlineStr">
        <is>
          <t>←</t>
        </is>
      </c>
      <c r="J121" s="857" t="inlineStr">
        <is>
          <t>←</t>
        </is>
      </c>
      <c r="K121" s="857" t="inlineStr">
        <is>
          <t>←</t>
        </is>
      </c>
      <c r="L121" s="857" t="inlineStr">
        <is>
          <t>←</t>
        </is>
      </c>
      <c r="M121" s="857" t="inlineStr">
        <is>
          <t>←</t>
        </is>
      </c>
      <c r="N121" s="857" t="inlineStr">
        <is>
          <t>←</t>
        </is>
      </c>
      <c r="O121" s="857" t="inlineStr">
        <is>
          <t>←</t>
        </is>
      </c>
      <c r="P121" s="857" t="inlineStr">
        <is>
          <t>←</t>
        </is>
      </c>
      <c r="Q121" s="857" t="inlineStr">
        <is>
          <t>【家】やさしい理系数学＋共通テスト過去問</t>
        </is>
      </c>
      <c r="R121" s="857" t="inlineStr">
        <is>
          <t>←</t>
        </is>
      </c>
      <c r="S121" s="857" t="inlineStr">
        <is>
          <t>←</t>
        </is>
      </c>
      <c r="T121" s="857" t="inlineStr">
        <is>
          <t>←</t>
        </is>
      </c>
      <c r="U121" s="857" t="inlineStr">
        <is>
          <t>【家】{志望校}過去問</t>
        </is>
      </c>
      <c r="V121" s="857" t="inlineStr">
        <is>
          <t>←</t>
        </is>
      </c>
    </row>
    <row r="122">
      <c r="A122" s="856" t="inlineStr">
        <is>
          <t>国立理系|物理|基礎|講座</t>
        </is>
      </c>
      <c r="B122" s="856" t="inlineStr">
        <is>
          <t>国立理系</t>
        </is>
      </c>
      <c r="C122" s="856" t="inlineStr">
        <is>
          <t>物理</t>
        </is>
      </c>
      <c r="D122" s="856" t="inlineStr">
        <is>
          <t>基礎</t>
        </is>
      </c>
      <c r="E122" s="856" t="inlineStr">
        <is>
          <t>講座</t>
        </is>
      </c>
      <c r="F122" s="856" t="n"/>
      <c r="G122" s="856" t="inlineStr">
        <is>
          <t>基礎物理</t>
        </is>
      </c>
      <c r="H122" s="856" t="inlineStr">
        <is>
          <t>←</t>
        </is>
      </c>
      <c r="I122" s="856" t="inlineStr">
        <is>
          <t>←</t>
        </is>
      </c>
      <c r="J122" s="856" t="inlineStr">
        <is>
          <t>←</t>
        </is>
      </c>
      <c r="K122" s="856" t="inlineStr">
        <is>
          <t>←</t>
        </is>
      </c>
      <c r="L122" s="856" t="inlineStr">
        <is>
          <t>←</t>
        </is>
      </c>
      <c r="M122" s="856" t="inlineStr">
        <is>
          <t>←</t>
        </is>
      </c>
      <c r="N122" s="856" t="inlineStr">
        <is>
          <t>←</t>
        </is>
      </c>
      <c r="O122" s="856" t="inlineStr">
        <is>
          <t>夏期講習</t>
        </is>
      </c>
      <c r="P122" s="856" t="inlineStr">
        <is>
          <t>←</t>
        </is>
      </c>
      <c r="Q122" s="856" t="inlineStr">
        <is>
          <t>基礎物理</t>
        </is>
      </c>
      <c r="R122" s="856" t="inlineStr">
        <is>
          <t>←</t>
        </is>
      </c>
      <c r="S122" s="856" t="inlineStr">
        <is>
          <t>←</t>
        </is>
      </c>
      <c r="T122" s="856" t="inlineStr">
        <is>
          <t>←</t>
        </is>
      </c>
      <c r="U122" s="856" t="inlineStr">
        <is>
          <t>直前講習</t>
        </is>
      </c>
      <c r="V122" s="856" t="inlineStr">
        <is>
          <t>←</t>
        </is>
      </c>
    </row>
    <row r="123">
      <c r="A123" s="857" t="inlineStr">
        <is>
          <t>国立理系|物理|基礎|回</t>
        </is>
      </c>
      <c r="B123" s="857" t="inlineStr">
        <is>
          <t>国立理系</t>
        </is>
      </c>
      <c r="C123" s="857" t="inlineStr">
        <is>
          <t>物理</t>
        </is>
      </c>
      <c r="D123" s="857" t="inlineStr">
        <is>
          <t>基礎</t>
        </is>
      </c>
      <c r="E123" s="857" t="inlineStr">
        <is>
          <t>回</t>
        </is>
      </c>
      <c r="F123" s="857" t="n"/>
      <c r="G123" s="857" t="inlineStr">
        <is>
          <t>練成1</t>
        </is>
      </c>
      <c r="H123" s="857" t="inlineStr">
        <is>
          <t>練成2</t>
        </is>
      </c>
      <c r="I123" s="857" t="inlineStr">
        <is>
          <t>練成3</t>
        </is>
      </c>
      <c r="J123" s="857" t="inlineStr">
        <is>
          <t>練成4</t>
        </is>
      </c>
      <c r="K123" s="857" t="inlineStr">
        <is>
          <t>練成5</t>
        </is>
      </c>
      <c r="L123" s="857" t="inlineStr">
        <is>
          <t>練成6</t>
        </is>
      </c>
      <c r="M123" s="857" t="inlineStr">
        <is>
          <t>練成7</t>
        </is>
      </c>
      <c r="N123" s="857" t="inlineStr">
        <is>
          <t>練成8</t>
        </is>
      </c>
      <c r="O123" s="857" t="inlineStr">
        <is>
          <t>夏期1</t>
        </is>
      </c>
      <c r="P123" s="857" t="inlineStr">
        <is>
          <t>夏期2</t>
        </is>
      </c>
      <c r="Q123" s="857" t="inlineStr">
        <is>
          <t>実戦1</t>
        </is>
      </c>
      <c r="R123" s="857" t="inlineStr">
        <is>
          <t>実戦2</t>
        </is>
      </c>
      <c r="S123" s="857" t="inlineStr">
        <is>
          <t>実戦3</t>
        </is>
      </c>
      <c r="T123" s="857" t="inlineStr">
        <is>
          <t>実戦4</t>
        </is>
      </c>
      <c r="U123" s="857" t="inlineStr">
        <is>
          <t>直前1</t>
        </is>
      </c>
      <c r="V123" s="857" t="inlineStr">
        <is>
          <t>※</t>
        </is>
      </c>
    </row>
    <row r="124">
      <c r="A124" s="857" t="inlineStr">
        <is>
          <t>国立理系|物理|基礎|塾</t>
        </is>
      </c>
      <c r="B124" s="857" t="inlineStr">
        <is>
          <t>国立理系</t>
        </is>
      </c>
      <c r="C124" s="857" t="inlineStr">
        <is>
          <t>物理</t>
        </is>
      </c>
      <c r="D124" s="857" t="inlineStr">
        <is>
          <t>基礎</t>
        </is>
      </c>
      <c r="E124" s="857" t="inlineStr">
        <is>
          <t>塾</t>
        </is>
      </c>
      <c r="F124" s="857" t="inlineStr">
        <is>
          <t>【塾】物理のエッセンス（力学・波動・熱・電磁気）</t>
        </is>
      </c>
      <c r="G124" s="857" t="inlineStr">
        <is>
          <t>←</t>
        </is>
      </c>
      <c r="H124" s="857" t="inlineStr">
        <is>
          <t>←</t>
        </is>
      </c>
      <c r="I124" s="857" t="inlineStr">
        <is>
          <t>←</t>
        </is>
      </c>
      <c r="J124" s="857" t="inlineStr">
        <is>
          <t>←</t>
        </is>
      </c>
      <c r="K124" s="857" t="inlineStr">
        <is>
          <t>←</t>
        </is>
      </c>
      <c r="L124" s="857" t="inlineStr">
        <is>
          <t>←</t>
        </is>
      </c>
      <c r="M124" s="857" t="inlineStr">
        <is>
          <t>←</t>
        </is>
      </c>
      <c r="N124" s="857" t="inlineStr">
        <is>
          <t>←</t>
        </is>
      </c>
      <c r="O124" s="857" t="inlineStr">
        <is>
          <t>←</t>
        </is>
      </c>
      <c r="P124" s="857" t="inlineStr">
        <is>
          <t>←</t>
        </is>
      </c>
      <c r="Q124" s="857" t="inlineStr">
        <is>
          <t>【塾】良問の風 物理</t>
        </is>
      </c>
      <c r="R124" s="857" t="inlineStr">
        <is>
          <t>←</t>
        </is>
      </c>
      <c r="S124" s="857" t="inlineStr">
        <is>
          <t>←</t>
        </is>
      </c>
      <c r="T124" s="857" t="inlineStr">
        <is>
          <t>←</t>
        </is>
      </c>
      <c r="U124" s="857" t="inlineStr">
        <is>
          <t>【塾】{志望校}過去問</t>
        </is>
      </c>
      <c r="V124" s="857" t="inlineStr">
        <is>
          <t>←</t>
        </is>
      </c>
    </row>
    <row r="125">
      <c r="A125" s="857" t="inlineStr">
        <is>
          <t>国立理系|物理|基礎|家</t>
        </is>
      </c>
      <c r="B125" s="857" t="inlineStr">
        <is>
          <t>国立理系</t>
        </is>
      </c>
      <c r="C125" s="857" t="inlineStr">
        <is>
          <t>物理</t>
        </is>
      </c>
      <c r="D125" s="857" t="inlineStr">
        <is>
          <t>基礎</t>
        </is>
      </c>
      <c r="E125" s="857" t="inlineStr">
        <is>
          <t>家</t>
        </is>
      </c>
      <c r="F125" s="857" t="inlineStr">
        <is>
          <t>【家】宇宙一わかりやすい高校物理（復習）</t>
        </is>
      </c>
      <c r="G125" s="857" t="inlineStr">
        <is>
          <t>←</t>
        </is>
      </c>
      <c r="H125" s="857" t="inlineStr">
        <is>
          <t>←</t>
        </is>
      </c>
      <c r="I125" s="857" t="inlineStr">
        <is>
          <t>←</t>
        </is>
      </c>
      <c r="J125" s="857" t="inlineStr">
        <is>
          <t>←</t>
        </is>
      </c>
      <c r="K125" s="857" t="inlineStr">
        <is>
          <t>←</t>
        </is>
      </c>
      <c r="L125" s="857" t="inlineStr">
        <is>
          <t>←</t>
        </is>
      </c>
      <c r="M125" s="857" t="inlineStr">
        <is>
          <t>←</t>
        </is>
      </c>
      <c r="N125" s="857" t="inlineStr">
        <is>
          <t>←</t>
        </is>
      </c>
      <c r="O125" s="857" t="inlineStr">
        <is>
          <t>←</t>
        </is>
      </c>
      <c r="P125" s="857" t="inlineStr">
        <is>
          <t>←</t>
        </is>
      </c>
      <c r="Q125" s="857" t="inlineStr">
        <is>
          <t>【家】共通テスト過去問（物理）</t>
        </is>
      </c>
      <c r="R125" s="857" t="inlineStr">
        <is>
          <t>←</t>
        </is>
      </c>
      <c r="S125" s="857" t="inlineStr">
        <is>
          <t>←</t>
        </is>
      </c>
      <c r="T125" s="857" t="inlineStr">
        <is>
          <t>←</t>
        </is>
      </c>
      <c r="U125" s="857" t="inlineStr">
        <is>
          <t>【家】{志望校}過去問</t>
        </is>
      </c>
      <c r="V125" s="857" t="inlineStr">
        <is>
          <t>←</t>
        </is>
      </c>
    </row>
    <row r="126">
      <c r="A126" s="856" t="inlineStr">
        <is>
          <t>国立理系|物理|標準|講座</t>
        </is>
      </c>
      <c r="B126" s="856" t="inlineStr">
        <is>
          <t>国立理系</t>
        </is>
      </c>
      <c r="C126" s="856" t="inlineStr">
        <is>
          <t>物理</t>
        </is>
      </c>
      <c r="D126" s="856" t="inlineStr">
        <is>
          <t>標準</t>
        </is>
      </c>
      <c r="E126" s="856" t="inlineStr">
        <is>
          <t>講座</t>
        </is>
      </c>
      <c r="F126" s="856" t="n"/>
      <c r="G126" s="856" t="inlineStr">
        <is>
          <t>標準物理</t>
        </is>
      </c>
      <c r="H126" s="856" t="inlineStr">
        <is>
          <t>←</t>
        </is>
      </c>
      <c r="I126" s="856" t="inlineStr">
        <is>
          <t>←</t>
        </is>
      </c>
      <c r="J126" s="856" t="inlineStr">
        <is>
          <t>←</t>
        </is>
      </c>
      <c r="K126" s="856" t="inlineStr">
        <is>
          <t>←</t>
        </is>
      </c>
      <c r="L126" s="856" t="inlineStr">
        <is>
          <t>←</t>
        </is>
      </c>
      <c r="M126" s="856" t="inlineStr">
        <is>
          <t>←</t>
        </is>
      </c>
      <c r="N126" s="856" t="inlineStr">
        <is>
          <t>←</t>
        </is>
      </c>
      <c r="O126" s="856" t="inlineStr">
        <is>
          <t>夏期講習</t>
        </is>
      </c>
      <c r="P126" s="856" t="inlineStr">
        <is>
          <t>←</t>
        </is>
      </c>
      <c r="Q126" s="856" t="inlineStr">
        <is>
          <t>標準物理</t>
        </is>
      </c>
      <c r="R126" s="856" t="inlineStr">
        <is>
          <t>←</t>
        </is>
      </c>
      <c r="S126" s="856" t="inlineStr">
        <is>
          <t>←</t>
        </is>
      </c>
      <c r="T126" s="856" t="inlineStr">
        <is>
          <t>←</t>
        </is>
      </c>
      <c r="U126" s="856" t="inlineStr">
        <is>
          <t>直前講習</t>
        </is>
      </c>
      <c r="V126" s="856" t="inlineStr">
        <is>
          <t>←</t>
        </is>
      </c>
    </row>
    <row r="127">
      <c r="A127" s="857" t="inlineStr">
        <is>
          <t>国立理系|物理|標準|回</t>
        </is>
      </c>
      <c r="B127" s="857" t="inlineStr">
        <is>
          <t>国立理系</t>
        </is>
      </c>
      <c r="C127" s="857" t="inlineStr">
        <is>
          <t>物理</t>
        </is>
      </c>
      <c r="D127" s="857" t="inlineStr">
        <is>
          <t>標準</t>
        </is>
      </c>
      <c r="E127" s="857" t="inlineStr">
        <is>
          <t>回</t>
        </is>
      </c>
      <c r="F127" s="857" t="n"/>
      <c r="G127" s="857" t="inlineStr">
        <is>
          <t>練成1</t>
        </is>
      </c>
      <c r="H127" s="857" t="inlineStr">
        <is>
          <t>練成2</t>
        </is>
      </c>
      <c r="I127" s="857" t="inlineStr">
        <is>
          <t>練成3</t>
        </is>
      </c>
      <c r="J127" s="857" t="inlineStr">
        <is>
          <t>練成4</t>
        </is>
      </c>
      <c r="K127" s="857" t="inlineStr">
        <is>
          <t>練成5</t>
        </is>
      </c>
      <c r="L127" s="857" t="inlineStr">
        <is>
          <t>練成6</t>
        </is>
      </c>
      <c r="M127" s="857" t="inlineStr">
        <is>
          <t>練成7</t>
        </is>
      </c>
      <c r="N127" s="857" t="inlineStr">
        <is>
          <t>練成8</t>
        </is>
      </c>
      <c r="O127" s="857" t="inlineStr">
        <is>
          <t>夏期1</t>
        </is>
      </c>
      <c r="P127" s="857" t="inlineStr">
        <is>
          <t>夏期2</t>
        </is>
      </c>
      <c r="Q127" s="857" t="inlineStr">
        <is>
          <t>実戦1</t>
        </is>
      </c>
      <c r="R127" s="857" t="inlineStr">
        <is>
          <t>実戦2</t>
        </is>
      </c>
      <c r="S127" s="857" t="inlineStr">
        <is>
          <t>実戦3</t>
        </is>
      </c>
      <c r="T127" s="857" t="inlineStr">
        <is>
          <t>実戦4</t>
        </is>
      </c>
      <c r="U127" s="857" t="inlineStr">
        <is>
          <t>直前1</t>
        </is>
      </c>
      <c r="V127" s="857" t="inlineStr">
        <is>
          <t>※</t>
        </is>
      </c>
    </row>
    <row r="128">
      <c r="A128" s="857" t="inlineStr">
        <is>
          <t>国立理系|物理|標準|塾</t>
        </is>
      </c>
      <c r="B128" s="857" t="inlineStr">
        <is>
          <t>国立理系</t>
        </is>
      </c>
      <c r="C128" s="857" t="inlineStr">
        <is>
          <t>物理</t>
        </is>
      </c>
      <c r="D128" s="857" t="inlineStr">
        <is>
          <t>標準</t>
        </is>
      </c>
      <c r="E128" s="857" t="inlineStr">
        <is>
          <t>塾</t>
        </is>
      </c>
      <c r="F128" s="857" t="inlineStr">
        <is>
          <t>【塾】物理のエッセンス → 良問の風 物理</t>
        </is>
      </c>
      <c r="G128" s="857" t="inlineStr">
        <is>
          <t>←</t>
        </is>
      </c>
      <c r="H128" s="857" t="inlineStr">
        <is>
          <t>←</t>
        </is>
      </c>
      <c r="I128" s="857" t="inlineStr">
        <is>
          <t>←</t>
        </is>
      </c>
      <c r="J128" s="857" t="inlineStr">
        <is>
          <t>←</t>
        </is>
      </c>
      <c r="K128" s="857" t="inlineStr">
        <is>
          <t>←</t>
        </is>
      </c>
      <c r="L128" s="857" t="inlineStr">
        <is>
          <t>←</t>
        </is>
      </c>
      <c r="M128" s="857" t="inlineStr">
        <is>
          <t>←</t>
        </is>
      </c>
      <c r="N128" s="857" t="inlineStr">
        <is>
          <t>←</t>
        </is>
      </c>
      <c r="O128" s="857" t="inlineStr">
        <is>
          <t>←</t>
        </is>
      </c>
      <c r="P128" s="857" t="inlineStr">
        <is>
          <t>←</t>
        </is>
      </c>
      <c r="Q128" s="857" t="inlineStr">
        <is>
          <t>【塾】物理 重要問題集（A問題）</t>
        </is>
      </c>
      <c r="R128" s="857" t="inlineStr">
        <is>
          <t>←</t>
        </is>
      </c>
      <c r="S128" s="857" t="inlineStr">
        <is>
          <t>←</t>
        </is>
      </c>
      <c r="T128" s="857" t="inlineStr">
        <is>
          <t>←</t>
        </is>
      </c>
      <c r="U128" s="857" t="inlineStr">
        <is>
          <t>【塾】{志望校}過去問</t>
        </is>
      </c>
      <c r="V128" s="857" t="inlineStr">
        <is>
          <t>←</t>
        </is>
      </c>
    </row>
    <row r="129">
      <c r="A129" s="857" t="inlineStr">
        <is>
          <t>国立理系|物理|標準|家</t>
        </is>
      </c>
      <c r="B129" s="857" t="inlineStr">
        <is>
          <t>国立理系</t>
        </is>
      </c>
      <c r="C129" s="857" t="inlineStr">
        <is>
          <t>物理</t>
        </is>
      </c>
      <c r="D129" s="857" t="inlineStr">
        <is>
          <t>標準</t>
        </is>
      </c>
      <c r="E129" s="857" t="inlineStr">
        <is>
          <t>家</t>
        </is>
      </c>
      <c r="F129" s="857" t="inlineStr">
        <is>
          <t>【家】物理のエッセンス（反復）</t>
        </is>
      </c>
      <c r="G129" s="857" t="inlineStr">
        <is>
          <t>←</t>
        </is>
      </c>
      <c r="H129" s="857" t="inlineStr">
        <is>
          <t>←</t>
        </is>
      </c>
      <c r="I129" s="857" t="inlineStr">
        <is>
          <t>←</t>
        </is>
      </c>
      <c r="J129" s="857" t="inlineStr">
        <is>
          <t>←</t>
        </is>
      </c>
      <c r="K129" s="857" t="inlineStr">
        <is>
          <t>←</t>
        </is>
      </c>
      <c r="L129" s="857" t="inlineStr">
        <is>
          <t>←</t>
        </is>
      </c>
      <c r="M129" s="857" t="inlineStr">
        <is>
          <t>←</t>
        </is>
      </c>
      <c r="N129" s="857" t="inlineStr">
        <is>
          <t>←</t>
        </is>
      </c>
      <c r="O129" s="857" t="inlineStr">
        <is>
          <t>←</t>
        </is>
      </c>
      <c r="P129" s="857" t="inlineStr">
        <is>
          <t>←</t>
        </is>
      </c>
      <c r="Q129" s="857" t="inlineStr">
        <is>
          <t>【家】共通テスト過去問（物理）</t>
        </is>
      </c>
      <c r="R129" s="857" t="inlineStr">
        <is>
          <t>←</t>
        </is>
      </c>
      <c r="S129" s="857" t="inlineStr">
        <is>
          <t>←</t>
        </is>
      </c>
      <c r="T129" s="857" t="inlineStr">
        <is>
          <t>←</t>
        </is>
      </c>
      <c r="U129" s="857" t="inlineStr">
        <is>
          <t>【家】{志望校}過去問</t>
        </is>
      </c>
      <c r="V129" s="857" t="inlineStr">
        <is>
          <t>←</t>
        </is>
      </c>
    </row>
    <row r="130">
      <c r="A130" s="856" t="inlineStr">
        <is>
          <t>国立理系|物理|難関|講座</t>
        </is>
      </c>
      <c r="B130" s="856" t="inlineStr">
        <is>
          <t>国立理系</t>
        </is>
      </c>
      <c r="C130" s="856" t="inlineStr">
        <is>
          <t>物理</t>
        </is>
      </c>
      <c r="D130" s="856" t="inlineStr">
        <is>
          <t>難関</t>
        </is>
      </c>
      <c r="E130" s="856" t="inlineStr">
        <is>
          <t>講座</t>
        </is>
      </c>
      <c r="F130" s="856" t="n"/>
      <c r="G130" s="856" t="inlineStr">
        <is>
          <t>難関大物理</t>
        </is>
      </c>
      <c r="H130" s="856" t="inlineStr">
        <is>
          <t>←</t>
        </is>
      </c>
      <c r="I130" s="856" t="inlineStr">
        <is>
          <t>←</t>
        </is>
      </c>
      <c r="J130" s="856" t="inlineStr">
        <is>
          <t>←</t>
        </is>
      </c>
      <c r="K130" s="856" t="inlineStr">
        <is>
          <t>←</t>
        </is>
      </c>
      <c r="L130" s="856" t="inlineStr">
        <is>
          <t>←</t>
        </is>
      </c>
      <c r="M130" s="856" t="inlineStr">
        <is>
          <t>←</t>
        </is>
      </c>
      <c r="N130" s="856" t="inlineStr">
        <is>
          <t>←</t>
        </is>
      </c>
      <c r="O130" s="856" t="inlineStr">
        <is>
          <t>夏期講習</t>
        </is>
      </c>
      <c r="P130" s="856" t="inlineStr">
        <is>
          <t>←</t>
        </is>
      </c>
      <c r="Q130" s="856" t="inlineStr">
        <is>
          <t>難関大物理</t>
        </is>
      </c>
      <c r="R130" s="856" t="inlineStr">
        <is>
          <t>←</t>
        </is>
      </c>
      <c r="S130" s="856" t="inlineStr">
        <is>
          <t>←</t>
        </is>
      </c>
      <c r="T130" s="856" t="inlineStr">
        <is>
          <t>←</t>
        </is>
      </c>
      <c r="U130" s="856" t="inlineStr">
        <is>
          <t>直前講習</t>
        </is>
      </c>
      <c r="V130" s="856" t="inlineStr">
        <is>
          <t>←</t>
        </is>
      </c>
    </row>
    <row r="131">
      <c r="A131" s="857" t="inlineStr">
        <is>
          <t>国立理系|物理|難関|回</t>
        </is>
      </c>
      <c r="B131" s="857" t="inlineStr">
        <is>
          <t>国立理系</t>
        </is>
      </c>
      <c r="C131" s="857" t="inlineStr">
        <is>
          <t>物理</t>
        </is>
      </c>
      <c r="D131" s="857" t="inlineStr">
        <is>
          <t>難関</t>
        </is>
      </c>
      <c r="E131" s="857" t="inlineStr">
        <is>
          <t>回</t>
        </is>
      </c>
      <c r="F131" s="857" t="n"/>
      <c r="G131" s="857" t="inlineStr">
        <is>
          <t>練成1</t>
        </is>
      </c>
      <c r="H131" s="857" t="inlineStr">
        <is>
          <t>練成2</t>
        </is>
      </c>
      <c r="I131" s="857" t="inlineStr">
        <is>
          <t>練成3</t>
        </is>
      </c>
      <c r="J131" s="857" t="inlineStr">
        <is>
          <t>練成4</t>
        </is>
      </c>
      <c r="K131" s="857" t="inlineStr">
        <is>
          <t>練成5</t>
        </is>
      </c>
      <c r="L131" s="857" t="inlineStr">
        <is>
          <t>練成6</t>
        </is>
      </c>
      <c r="M131" s="857" t="inlineStr">
        <is>
          <t>練成7</t>
        </is>
      </c>
      <c r="N131" s="857" t="inlineStr">
        <is>
          <t>練成8</t>
        </is>
      </c>
      <c r="O131" s="857" t="inlineStr">
        <is>
          <t>夏期1</t>
        </is>
      </c>
      <c r="P131" s="857" t="inlineStr">
        <is>
          <t>夏期2</t>
        </is>
      </c>
      <c r="Q131" s="857" t="inlineStr">
        <is>
          <t>実戦1</t>
        </is>
      </c>
      <c r="R131" s="857" t="inlineStr">
        <is>
          <t>実戦2</t>
        </is>
      </c>
      <c r="S131" s="857" t="inlineStr">
        <is>
          <t>実戦3</t>
        </is>
      </c>
      <c r="T131" s="857" t="inlineStr">
        <is>
          <t>実戦4</t>
        </is>
      </c>
      <c r="U131" s="857" t="inlineStr">
        <is>
          <t>直前1</t>
        </is>
      </c>
      <c r="V131" s="857" t="inlineStr">
        <is>
          <t>※</t>
        </is>
      </c>
    </row>
    <row r="132">
      <c r="A132" s="857" t="inlineStr">
        <is>
          <t>国立理系|物理|難関|塾</t>
        </is>
      </c>
      <c r="B132" s="857" t="inlineStr">
        <is>
          <t>国立理系</t>
        </is>
      </c>
      <c r="C132" s="857" t="inlineStr">
        <is>
          <t>物理</t>
        </is>
      </c>
      <c r="D132" s="857" t="inlineStr">
        <is>
          <t>難関</t>
        </is>
      </c>
      <c r="E132" s="857" t="inlineStr">
        <is>
          <t>塾</t>
        </is>
      </c>
      <c r="F132" s="857" t="inlineStr">
        <is>
          <t>【塾】良問の風 物理</t>
        </is>
      </c>
      <c r="G132" s="857" t="inlineStr">
        <is>
          <t>←</t>
        </is>
      </c>
      <c r="H132" s="857" t="inlineStr">
        <is>
          <t>←</t>
        </is>
      </c>
      <c r="I132" s="857" t="inlineStr">
        <is>
          <t>←</t>
        </is>
      </c>
      <c r="J132" s="857" t="inlineStr">
        <is>
          <t>←</t>
        </is>
      </c>
      <c r="K132" s="857" t="inlineStr">
        <is>
          <t>←</t>
        </is>
      </c>
      <c r="L132" s="857" t="inlineStr">
        <is>
          <t>←</t>
        </is>
      </c>
      <c r="M132" s="857" t="inlineStr">
        <is>
          <t>←</t>
        </is>
      </c>
      <c r="N132" s="857" t="inlineStr">
        <is>
          <t>←</t>
        </is>
      </c>
      <c r="O132" s="857" t="inlineStr">
        <is>
          <t>←</t>
        </is>
      </c>
      <c r="P132" s="857" t="inlineStr">
        <is>
          <t>←</t>
        </is>
      </c>
      <c r="Q132" s="857" t="inlineStr">
        <is>
          <t>【塾】名問の森 物理</t>
        </is>
      </c>
      <c r="R132" s="857" t="inlineStr">
        <is>
          <t>←</t>
        </is>
      </c>
      <c r="S132" s="857" t="inlineStr">
        <is>
          <t>←</t>
        </is>
      </c>
      <c r="T132" s="857" t="inlineStr">
        <is>
          <t>←</t>
        </is>
      </c>
      <c r="U132" s="857" t="inlineStr">
        <is>
          <t>【塾】{志望校}過去問</t>
        </is>
      </c>
      <c r="V132" s="857" t="inlineStr">
        <is>
          <t>←</t>
        </is>
      </c>
    </row>
    <row r="133">
      <c r="A133" s="857" t="inlineStr">
        <is>
          <t>国立理系|物理|難関|家</t>
        </is>
      </c>
      <c r="B133" s="857" t="inlineStr">
        <is>
          <t>国立理系</t>
        </is>
      </c>
      <c r="C133" s="857" t="inlineStr">
        <is>
          <t>物理</t>
        </is>
      </c>
      <c r="D133" s="857" t="inlineStr">
        <is>
          <t>難関</t>
        </is>
      </c>
      <c r="E133" s="857" t="inlineStr">
        <is>
          <t>家</t>
        </is>
      </c>
      <c r="F133" s="857" t="inlineStr">
        <is>
          <t>【家】物理のエッセンス（反復）</t>
        </is>
      </c>
      <c r="G133" s="857" t="inlineStr">
        <is>
          <t>←</t>
        </is>
      </c>
      <c r="H133" s="857" t="inlineStr">
        <is>
          <t>←</t>
        </is>
      </c>
      <c r="I133" s="857" t="inlineStr">
        <is>
          <t>←</t>
        </is>
      </c>
      <c r="J133" s="857" t="inlineStr">
        <is>
          <t>←</t>
        </is>
      </c>
      <c r="K133" s="857" t="inlineStr">
        <is>
          <t>←</t>
        </is>
      </c>
      <c r="L133" s="857" t="inlineStr">
        <is>
          <t>←</t>
        </is>
      </c>
      <c r="M133" s="857" t="inlineStr">
        <is>
          <t>←</t>
        </is>
      </c>
      <c r="N133" s="857" t="inlineStr">
        <is>
          <t>←</t>
        </is>
      </c>
      <c r="O133" s="857" t="inlineStr">
        <is>
          <t>←</t>
        </is>
      </c>
      <c r="P133" s="857" t="inlineStr">
        <is>
          <t>←</t>
        </is>
      </c>
      <c r="Q133" s="857" t="inlineStr">
        <is>
          <t>【家】共通テスト過去問（物理）</t>
        </is>
      </c>
      <c r="R133" s="857" t="inlineStr">
        <is>
          <t>←</t>
        </is>
      </c>
      <c r="S133" s="857" t="inlineStr">
        <is>
          <t>←</t>
        </is>
      </c>
      <c r="T133" s="857" t="inlineStr">
        <is>
          <t>←</t>
        </is>
      </c>
      <c r="U133" s="857" t="inlineStr">
        <is>
          <t>【家】{志望校}過去問</t>
        </is>
      </c>
      <c r="V133" s="857" t="inlineStr">
        <is>
          <t>←</t>
        </is>
      </c>
    </row>
    <row r="134">
      <c r="A134" s="856" t="inlineStr">
        <is>
          <t>国立理系|化学|基礎|講座</t>
        </is>
      </c>
      <c r="B134" s="856" t="inlineStr">
        <is>
          <t>国立理系</t>
        </is>
      </c>
      <c r="C134" s="856" t="inlineStr">
        <is>
          <t>化学</t>
        </is>
      </c>
      <c r="D134" s="856" t="inlineStr">
        <is>
          <t>基礎</t>
        </is>
      </c>
      <c r="E134" s="856" t="inlineStr">
        <is>
          <t>講座</t>
        </is>
      </c>
      <c r="F134" s="856" t="n"/>
      <c r="G134" s="856" t="inlineStr">
        <is>
          <t>基礎化学</t>
        </is>
      </c>
      <c r="H134" s="856" t="inlineStr">
        <is>
          <t>←</t>
        </is>
      </c>
      <c r="I134" s="856" t="inlineStr">
        <is>
          <t>←</t>
        </is>
      </c>
      <c r="J134" s="856" t="inlineStr">
        <is>
          <t>←</t>
        </is>
      </c>
      <c r="K134" s="856" t="inlineStr">
        <is>
          <t>←</t>
        </is>
      </c>
      <c r="L134" s="856" t="inlineStr">
        <is>
          <t>←</t>
        </is>
      </c>
      <c r="M134" s="856" t="inlineStr">
        <is>
          <t>←</t>
        </is>
      </c>
      <c r="N134" s="856" t="inlineStr">
        <is>
          <t>←</t>
        </is>
      </c>
      <c r="O134" s="856" t="inlineStr">
        <is>
          <t>夏期講習</t>
        </is>
      </c>
      <c r="P134" s="856" t="inlineStr">
        <is>
          <t>←</t>
        </is>
      </c>
      <c r="Q134" s="856" t="inlineStr">
        <is>
          <t>基礎化学</t>
        </is>
      </c>
      <c r="R134" s="856" t="inlineStr">
        <is>
          <t>←</t>
        </is>
      </c>
      <c r="S134" s="856" t="inlineStr">
        <is>
          <t>←</t>
        </is>
      </c>
      <c r="T134" s="856" t="inlineStr">
        <is>
          <t>←</t>
        </is>
      </c>
      <c r="U134" s="856" t="inlineStr">
        <is>
          <t>直前講習</t>
        </is>
      </c>
      <c r="V134" s="856" t="inlineStr">
        <is>
          <t>←</t>
        </is>
      </c>
    </row>
    <row r="135">
      <c r="A135" s="857" t="inlineStr">
        <is>
          <t>国立理系|化学|基礎|回</t>
        </is>
      </c>
      <c r="B135" s="857" t="inlineStr">
        <is>
          <t>国立理系</t>
        </is>
      </c>
      <c r="C135" s="857" t="inlineStr">
        <is>
          <t>化学</t>
        </is>
      </c>
      <c r="D135" s="857" t="inlineStr">
        <is>
          <t>基礎</t>
        </is>
      </c>
      <c r="E135" s="857" t="inlineStr">
        <is>
          <t>回</t>
        </is>
      </c>
      <c r="F135" s="857" t="n"/>
      <c r="G135" s="857" t="inlineStr">
        <is>
          <t>練成1</t>
        </is>
      </c>
      <c r="H135" s="857" t="inlineStr">
        <is>
          <t>練成2</t>
        </is>
      </c>
      <c r="I135" s="857" t="inlineStr">
        <is>
          <t>練成3</t>
        </is>
      </c>
      <c r="J135" s="857" t="inlineStr">
        <is>
          <t>練成4</t>
        </is>
      </c>
      <c r="K135" s="857" t="inlineStr">
        <is>
          <t>練成5</t>
        </is>
      </c>
      <c r="L135" s="857" t="inlineStr">
        <is>
          <t>練成6</t>
        </is>
      </c>
      <c r="M135" s="857" t="inlineStr">
        <is>
          <t>練成7</t>
        </is>
      </c>
      <c r="N135" s="857" t="inlineStr">
        <is>
          <t>練成8</t>
        </is>
      </c>
      <c r="O135" s="857" t="inlineStr">
        <is>
          <t>夏期1</t>
        </is>
      </c>
      <c r="P135" s="857" t="inlineStr">
        <is>
          <t>夏期2</t>
        </is>
      </c>
      <c r="Q135" s="857" t="inlineStr">
        <is>
          <t>実戦1</t>
        </is>
      </c>
      <c r="R135" s="857" t="inlineStr">
        <is>
          <t>実戦2</t>
        </is>
      </c>
      <c r="S135" s="857" t="inlineStr">
        <is>
          <t>実戦3</t>
        </is>
      </c>
      <c r="T135" s="857" t="inlineStr">
        <is>
          <t>実戦4</t>
        </is>
      </c>
      <c r="U135" s="857" t="inlineStr">
        <is>
          <t>直前1</t>
        </is>
      </c>
      <c r="V135" s="857" t="inlineStr">
        <is>
          <t>※</t>
        </is>
      </c>
    </row>
    <row r="136">
      <c r="A136" s="857" t="inlineStr">
        <is>
          <t>国立理系|化学|基礎|塾</t>
        </is>
      </c>
      <c r="B136" s="857" t="inlineStr">
        <is>
          <t>国立理系</t>
        </is>
      </c>
      <c r="C136" s="857" t="inlineStr">
        <is>
          <t>化学</t>
        </is>
      </c>
      <c r="D136" s="857" t="inlineStr">
        <is>
          <t>基礎</t>
        </is>
      </c>
      <c r="E136" s="857" t="inlineStr">
        <is>
          <t>塾</t>
        </is>
      </c>
      <c r="F136" s="857" t="inlineStr">
        <is>
          <t>【塾】鎌田の理論化学の講義＋セミナー化学</t>
        </is>
      </c>
      <c r="G136" s="857" t="inlineStr">
        <is>
          <t>←</t>
        </is>
      </c>
      <c r="H136" s="857" t="inlineStr">
        <is>
          <t>←</t>
        </is>
      </c>
      <c r="I136" s="857" t="inlineStr">
        <is>
          <t>←</t>
        </is>
      </c>
      <c r="J136" s="857" t="inlineStr">
        <is>
          <t>←</t>
        </is>
      </c>
      <c r="K136" s="857" t="inlineStr">
        <is>
          <t>←</t>
        </is>
      </c>
      <c r="L136" s="857" t="inlineStr">
        <is>
          <t>←</t>
        </is>
      </c>
      <c r="M136" s="857" t="inlineStr">
        <is>
          <t>←</t>
        </is>
      </c>
      <c r="N136" s="857" t="inlineStr">
        <is>
          <t>←</t>
        </is>
      </c>
      <c r="O136" s="857" t="inlineStr">
        <is>
          <t>←</t>
        </is>
      </c>
      <c r="P136" s="857" t="inlineStr">
        <is>
          <t>←</t>
        </is>
      </c>
      <c r="Q136" s="857" t="inlineStr">
        <is>
          <t>【塾】化学 基礎問題精講</t>
        </is>
      </c>
      <c r="R136" s="857" t="inlineStr">
        <is>
          <t>←</t>
        </is>
      </c>
      <c r="S136" s="857" t="inlineStr">
        <is>
          <t>←</t>
        </is>
      </c>
      <c r="T136" s="857" t="inlineStr">
        <is>
          <t>←</t>
        </is>
      </c>
      <c r="U136" s="857" t="inlineStr">
        <is>
          <t>【塾】{志望校}過去問</t>
        </is>
      </c>
      <c r="V136" s="857" t="inlineStr">
        <is>
          <t>←</t>
        </is>
      </c>
    </row>
    <row r="137">
      <c r="A137" s="857" t="inlineStr">
        <is>
          <t>国立理系|化学|基礎|家</t>
        </is>
      </c>
      <c r="B137" s="857" t="inlineStr">
        <is>
          <t>国立理系</t>
        </is>
      </c>
      <c r="C137" s="857" t="inlineStr">
        <is>
          <t>化学</t>
        </is>
      </c>
      <c r="D137" s="857" t="inlineStr">
        <is>
          <t>基礎</t>
        </is>
      </c>
      <c r="E137" s="857" t="inlineStr">
        <is>
          <t>家</t>
        </is>
      </c>
      <c r="F137" s="857" t="inlineStr">
        <is>
          <t>【家】セミナー化学（基本問題の反復）</t>
        </is>
      </c>
      <c r="G137" s="857" t="inlineStr">
        <is>
          <t>←</t>
        </is>
      </c>
      <c r="H137" s="857" t="inlineStr">
        <is>
          <t>←</t>
        </is>
      </c>
      <c r="I137" s="857" t="inlineStr">
        <is>
          <t>←</t>
        </is>
      </c>
      <c r="J137" s="857" t="inlineStr">
        <is>
          <t>←</t>
        </is>
      </c>
      <c r="K137" s="857" t="inlineStr">
        <is>
          <t>←</t>
        </is>
      </c>
      <c r="L137" s="857" t="inlineStr">
        <is>
          <t>←</t>
        </is>
      </c>
      <c r="M137" s="857" t="inlineStr">
        <is>
          <t>←</t>
        </is>
      </c>
      <c r="N137" s="857" t="inlineStr">
        <is>
          <t>←</t>
        </is>
      </c>
      <c r="O137" s="857" t="inlineStr">
        <is>
          <t>←</t>
        </is>
      </c>
      <c r="P137" s="857" t="inlineStr">
        <is>
          <t>←</t>
        </is>
      </c>
      <c r="Q137" s="857" t="inlineStr">
        <is>
          <t>【家】共通テスト過去問（化学）</t>
        </is>
      </c>
      <c r="R137" s="857" t="inlineStr">
        <is>
          <t>←</t>
        </is>
      </c>
      <c r="S137" s="857" t="inlineStr">
        <is>
          <t>←</t>
        </is>
      </c>
      <c r="T137" s="857" t="inlineStr">
        <is>
          <t>←</t>
        </is>
      </c>
      <c r="U137" s="857" t="inlineStr">
        <is>
          <t>【家】{志望校}過去問</t>
        </is>
      </c>
      <c r="V137" s="857" t="inlineStr">
        <is>
          <t>←</t>
        </is>
      </c>
    </row>
    <row r="138">
      <c r="A138" s="856" t="inlineStr">
        <is>
          <t>国立理系|化学|標準|講座</t>
        </is>
      </c>
      <c r="B138" s="856" t="inlineStr">
        <is>
          <t>国立理系</t>
        </is>
      </c>
      <c r="C138" s="856" t="inlineStr">
        <is>
          <t>化学</t>
        </is>
      </c>
      <c r="D138" s="856" t="inlineStr">
        <is>
          <t>標準</t>
        </is>
      </c>
      <c r="E138" s="856" t="inlineStr">
        <is>
          <t>講座</t>
        </is>
      </c>
      <c r="F138" s="856" t="n"/>
      <c r="G138" s="856" t="inlineStr">
        <is>
          <t>標準化学</t>
        </is>
      </c>
      <c r="H138" s="856" t="inlineStr">
        <is>
          <t>←</t>
        </is>
      </c>
      <c r="I138" s="856" t="inlineStr">
        <is>
          <t>←</t>
        </is>
      </c>
      <c r="J138" s="856" t="inlineStr">
        <is>
          <t>←</t>
        </is>
      </c>
      <c r="K138" s="856" t="inlineStr">
        <is>
          <t>←</t>
        </is>
      </c>
      <c r="L138" s="856" t="inlineStr">
        <is>
          <t>←</t>
        </is>
      </c>
      <c r="M138" s="856" t="inlineStr">
        <is>
          <t>←</t>
        </is>
      </c>
      <c r="N138" s="856" t="inlineStr">
        <is>
          <t>←</t>
        </is>
      </c>
      <c r="O138" s="856" t="inlineStr">
        <is>
          <t>夏期講習</t>
        </is>
      </c>
      <c r="P138" s="856" t="inlineStr">
        <is>
          <t>←</t>
        </is>
      </c>
      <c r="Q138" s="856" t="inlineStr">
        <is>
          <t>標準化学</t>
        </is>
      </c>
      <c r="R138" s="856" t="inlineStr">
        <is>
          <t>←</t>
        </is>
      </c>
      <c r="S138" s="856" t="inlineStr">
        <is>
          <t>←</t>
        </is>
      </c>
      <c r="T138" s="856" t="inlineStr">
        <is>
          <t>←</t>
        </is>
      </c>
      <c r="U138" s="856" t="inlineStr">
        <is>
          <t>直前講習</t>
        </is>
      </c>
      <c r="V138" s="856" t="inlineStr">
        <is>
          <t>←</t>
        </is>
      </c>
    </row>
    <row r="139">
      <c r="A139" s="857" t="inlineStr">
        <is>
          <t>国立理系|化学|標準|回</t>
        </is>
      </c>
      <c r="B139" s="857" t="inlineStr">
        <is>
          <t>国立理系</t>
        </is>
      </c>
      <c r="C139" s="857" t="inlineStr">
        <is>
          <t>化学</t>
        </is>
      </c>
      <c r="D139" s="857" t="inlineStr">
        <is>
          <t>標準</t>
        </is>
      </c>
      <c r="E139" s="857" t="inlineStr">
        <is>
          <t>回</t>
        </is>
      </c>
      <c r="F139" s="857" t="n"/>
      <c r="G139" s="857" t="inlineStr">
        <is>
          <t>練成1</t>
        </is>
      </c>
      <c r="H139" s="857" t="inlineStr">
        <is>
          <t>練成2</t>
        </is>
      </c>
      <c r="I139" s="857" t="inlineStr">
        <is>
          <t>練成3</t>
        </is>
      </c>
      <c r="J139" s="857" t="inlineStr">
        <is>
          <t>練成4</t>
        </is>
      </c>
      <c r="K139" s="857" t="inlineStr">
        <is>
          <t>練成5</t>
        </is>
      </c>
      <c r="L139" s="857" t="inlineStr">
        <is>
          <t>練成6</t>
        </is>
      </c>
      <c r="M139" s="857" t="inlineStr">
        <is>
          <t>練成7</t>
        </is>
      </c>
      <c r="N139" s="857" t="inlineStr">
        <is>
          <t>練成8</t>
        </is>
      </c>
      <c r="O139" s="857" t="inlineStr">
        <is>
          <t>夏期1</t>
        </is>
      </c>
      <c r="P139" s="857" t="inlineStr">
        <is>
          <t>夏期2</t>
        </is>
      </c>
      <c r="Q139" s="857" t="inlineStr">
        <is>
          <t>実戦1</t>
        </is>
      </c>
      <c r="R139" s="857" t="inlineStr">
        <is>
          <t>実戦2</t>
        </is>
      </c>
      <c r="S139" s="857" t="inlineStr">
        <is>
          <t>実戦3</t>
        </is>
      </c>
      <c r="T139" s="857" t="inlineStr">
        <is>
          <t>実戦4</t>
        </is>
      </c>
      <c r="U139" s="857" t="inlineStr">
        <is>
          <t>直前1</t>
        </is>
      </c>
      <c r="V139" s="857" t="inlineStr">
        <is>
          <t>※</t>
        </is>
      </c>
    </row>
    <row r="140">
      <c r="A140" s="857" t="inlineStr">
        <is>
          <t>国立理系|化学|標準|塾</t>
        </is>
      </c>
      <c r="B140" s="857" t="inlineStr">
        <is>
          <t>国立理系</t>
        </is>
      </c>
      <c r="C140" s="857" t="inlineStr">
        <is>
          <t>化学</t>
        </is>
      </c>
      <c r="D140" s="857" t="inlineStr">
        <is>
          <t>標準</t>
        </is>
      </c>
      <c r="E140" s="857" t="inlineStr">
        <is>
          <t>塾</t>
        </is>
      </c>
      <c r="F140" s="857" t="inlineStr">
        <is>
          <t>【塾】化学 基礎問題精講</t>
        </is>
      </c>
      <c r="G140" s="857" t="inlineStr">
        <is>
          <t>←</t>
        </is>
      </c>
      <c r="H140" s="857" t="inlineStr">
        <is>
          <t>←</t>
        </is>
      </c>
      <c r="I140" s="857" t="inlineStr">
        <is>
          <t>←</t>
        </is>
      </c>
      <c r="J140" s="857" t="inlineStr">
        <is>
          <t>←</t>
        </is>
      </c>
      <c r="K140" s="857" t="inlineStr">
        <is>
          <t>←</t>
        </is>
      </c>
      <c r="L140" s="857" t="inlineStr">
        <is>
          <t>←</t>
        </is>
      </c>
      <c r="M140" s="857" t="inlineStr">
        <is>
          <t>←</t>
        </is>
      </c>
      <c r="N140" s="857" t="inlineStr">
        <is>
          <t>←</t>
        </is>
      </c>
      <c r="O140" s="857" t="inlineStr">
        <is>
          <t>←</t>
        </is>
      </c>
      <c r="P140" s="857" t="inlineStr">
        <is>
          <t>←</t>
        </is>
      </c>
      <c r="Q140" s="857" t="inlineStr">
        <is>
          <t>【塾】化学 重要問題集（A問題）</t>
        </is>
      </c>
      <c r="R140" s="857" t="inlineStr">
        <is>
          <t>←</t>
        </is>
      </c>
      <c r="S140" s="857" t="inlineStr">
        <is>
          <t>←</t>
        </is>
      </c>
      <c r="T140" s="857" t="inlineStr">
        <is>
          <t>←</t>
        </is>
      </c>
      <c r="U140" s="857" t="inlineStr">
        <is>
          <t>【塾】{志望校}過去問</t>
        </is>
      </c>
      <c r="V140" s="857" t="inlineStr">
        <is>
          <t>←</t>
        </is>
      </c>
    </row>
    <row r="141">
      <c r="A141" s="857" t="inlineStr">
        <is>
          <t>国立理系|化学|標準|家</t>
        </is>
      </c>
      <c r="B141" s="857" t="inlineStr">
        <is>
          <t>国立理系</t>
        </is>
      </c>
      <c r="C141" s="857" t="inlineStr">
        <is>
          <t>化学</t>
        </is>
      </c>
      <c r="D141" s="857" t="inlineStr">
        <is>
          <t>標準</t>
        </is>
      </c>
      <c r="E141" s="857" t="inlineStr">
        <is>
          <t>家</t>
        </is>
      </c>
      <c r="F141" s="857" t="inlineStr">
        <is>
          <t>【家】セミナー化学（基本問題の反復）</t>
        </is>
      </c>
      <c r="G141" s="857" t="inlineStr">
        <is>
          <t>←</t>
        </is>
      </c>
      <c r="H141" s="857" t="inlineStr">
        <is>
          <t>←</t>
        </is>
      </c>
      <c r="I141" s="857" t="inlineStr">
        <is>
          <t>←</t>
        </is>
      </c>
      <c r="J141" s="857" t="inlineStr">
        <is>
          <t>←</t>
        </is>
      </c>
      <c r="K141" s="857" t="inlineStr">
        <is>
          <t>←</t>
        </is>
      </c>
      <c r="L141" s="857" t="inlineStr">
        <is>
          <t>←</t>
        </is>
      </c>
      <c r="M141" s="857" t="inlineStr">
        <is>
          <t>←</t>
        </is>
      </c>
      <c r="N141" s="857" t="inlineStr">
        <is>
          <t>←</t>
        </is>
      </c>
      <c r="O141" s="857" t="inlineStr">
        <is>
          <t>←</t>
        </is>
      </c>
      <c r="P141" s="857" t="inlineStr">
        <is>
          <t>←</t>
        </is>
      </c>
      <c r="Q141" s="857" t="inlineStr">
        <is>
          <t>【家】共通テスト過去問（化学）</t>
        </is>
      </c>
      <c r="R141" s="857" t="inlineStr">
        <is>
          <t>←</t>
        </is>
      </c>
      <c r="S141" s="857" t="inlineStr">
        <is>
          <t>←</t>
        </is>
      </c>
      <c r="T141" s="857" t="inlineStr">
        <is>
          <t>←</t>
        </is>
      </c>
      <c r="U141" s="857" t="inlineStr">
        <is>
          <t>【家】{志望校}過去問</t>
        </is>
      </c>
      <c r="V141" s="857" t="inlineStr">
        <is>
          <t>←</t>
        </is>
      </c>
    </row>
    <row r="142">
      <c r="A142" s="856" t="inlineStr">
        <is>
          <t>国立理系|化学|難関|講座</t>
        </is>
      </c>
      <c r="B142" s="856" t="inlineStr">
        <is>
          <t>国立理系</t>
        </is>
      </c>
      <c r="C142" s="856" t="inlineStr">
        <is>
          <t>化学</t>
        </is>
      </c>
      <c r="D142" s="856" t="inlineStr">
        <is>
          <t>難関</t>
        </is>
      </c>
      <c r="E142" s="856" t="inlineStr">
        <is>
          <t>講座</t>
        </is>
      </c>
      <c r="F142" s="856" t="n"/>
      <c r="G142" s="856" t="inlineStr">
        <is>
          <t>難関大化学</t>
        </is>
      </c>
      <c r="H142" s="856" t="inlineStr">
        <is>
          <t>←</t>
        </is>
      </c>
      <c r="I142" s="856" t="inlineStr">
        <is>
          <t>←</t>
        </is>
      </c>
      <c r="J142" s="856" t="inlineStr">
        <is>
          <t>←</t>
        </is>
      </c>
      <c r="K142" s="856" t="inlineStr">
        <is>
          <t>←</t>
        </is>
      </c>
      <c r="L142" s="856" t="inlineStr">
        <is>
          <t>←</t>
        </is>
      </c>
      <c r="M142" s="856" t="inlineStr">
        <is>
          <t>←</t>
        </is>
      </c>
      <c r="N142" s="856" t="inlineStr">
        <is>
          <t>←</t>
        </is>
      </c>
      <c r="O142" s="856" t="inlineStr">
        <is>
          <t>夏期講習</t>
        </is>
      </c>
      <c r="P142" s="856" t="inlineStr">
        <is>
          <t>←</t>
        </is>
      </c>
      <c r="Q142" s="856" t="inlineStr">
        <is>
          <t>難関大化学</t>
        </is>
      </c>
      <c r="R142" s="856" t="inlineStr">
        <is>
          <t>←</t>
        </is>
      </c>
      <c r="S142" s="856" t="inlineStr">
        <is>
          <t>←</t>
        </is>
      </c>
      <c r="T142" s="856" t="inlineStr">
        <is>
          <t>←</t>
        </is>
      </c>
      <c r="U142" s="856" t="inlineStr">
        <is>
          <t>直前講習</t>
        </is>
      </c>
      <c r="V142" s="856" t="inlineStr">
        <is>
          <t>←</t>
        </is>
      </c>
    </row>
    <row r="143">
      <c r="A143" s="857" t="inlineStr">
        <is>
          <t>国立理系|化学|難関|回</t>
        </is>
      </c>
      <c r="B143" s="857" t="inlineStr">
        <is>
          <t>国立理系</t>
        </is>
      </c>
      <c r="C143" s="857" t="inlineStr">
        <is>
          <t>化学</t>
        </is>
      </c>
      <c r="D143" s="857" t="inlineStr">
        <is>
          <t>難関</t>
        </is>
      </c>
      <c r="E143" s="857" t="inlineStr">
        <is>
          <t>回</t>
        </is>
      </c>
      <c r="F143" s="857" t="n"/>
      <c r="G143" s="857" t="inlineStr">
        <is>
          <t>練成1</t>
        </is>
      </c>
      <c r="H143" s="857" t="inlineStr">
        <is>
          <t>練成2</t>
        </is>
      </c>
      <c r="I143" s="857" t="inlineStr">
        <is>
          <t>練成3</t>
        </is>
      </c>
      <c r="J143" s="857" t="inlineStr">
        <is>
          <t>練成4</t>
        </is>
      </c>
      <c r="K143" s="857" t="inlineStr">
        <is>
          <t>練成5</t>
        </is>
      </c>
      <c r="L143" s="857" t="inlineStr">
        <is>
          <t>練成6</t>
        </is>
      </c>
      <c r="M143" s="857" t="inlineStr">
        <is>
          <t>練成7</t>
        </is>
      </c>
      <c r="N143" s="857" t="inlineStr">
        <is>
          <t>練成8</t>
        </is>
      </c>
      <c r="O143" s="857" t="inlineStr">
        <is>
          <t>夏期1</t>
        </is>
      </c>
      <c r="P143" s="857" t="inlineStr">
        <is>
          <t>夏期2</t>
        </is>
      </c>
      <c r="Q143" s="857" t="inlineStr">
        <is>
          <t>実戦1</t>
        </is>
      </c>
      <c r="R143" s="857" t="inlineStr">
        <is>
          <t>実戦2</t>
        </is>
      </c>
      <c r="S143" s="857" t="inlineStr">
        <is>
          <t>実戦3</t>
        </is>
      </c>
      <c r="T143" s="857" t="inlineStr">
        <is>
          <t>実戦4</t>
        </is>
      </c>
      <c r="U143" s="857" t="inlineStr">
        <is>
          <t>直前1</t>
        </is>
      </c>
      <c r="V143" s="857" t="inlineStr">
        <is>
          <t>※</t>
        </is>
      </c>
    </row>
    <row r="144">
      <c r="A144" s="857" t="inlineStr">
        <is>
          <t>国立理系|化学|難関|塾</t>
        </is>
      </c>
      <c r="B144" s="857" t="inlineStr">
        <is>
          <t>国立理系</t>
        </is>
      </c>
      <c r="C144" s="857" t="inlineStr">
        <is>
          <t>化学</t>
        </is>
      </c>
      <c r="D144" s="857" t="inlineStr">
        <is>
          <t>難関</t>
        </is>
      </c>
      <c r="E144" s="857" t="inlineStr">
        <is>
          <t>塾</t>
        </is>
      </c>
      <c r="F144" s="857" t="inlineStr">
        <is>
          <t>【塾】化学 重要問題集（A・B問題）</t>
        </is>
      </c>
      <c r="G144" s="857" t="inlineStr">
        <is>
          <t>←</t>
        </is>
      </c>
      <c r="H144" s="857" t="inlineStr">
        <is>
          <t>←</t>
        </is>
      </c>
      <c r="I144" s="857" t="inlineStr">
        <is>
          <t>←</t>
        </is>
      </c>
      <c r="J144" s="857" t="inlineStr">
        <is>
          <t>←</t>
        </is>
      </c>
      <c r="K144" s="857" t="inlineStr">
        <is>
          <t>←</t>
        </is>
      </c>
      <c r="L144" s="857" t="inlineStr">
        <is>
          <t>←</t>
        </is>
      </c>
      <c r="M144" s="857" t="inlineStr">
        <is>
          <t>←</t>
        </is>
      </c>
      <c r="N144" s="857" t="inlineStr">
        <is>
          <t>←</t>
        </is>
      </c>
      <c r="O144" s="857" t="inlineStr">
        <is>
          <t>←</t>
        </is>
      </c>
      <c r="P144" s="857" t="inlineStr">
        <is>
          <t>←</t>
        </is>
      </c>
      <c r="Q144" s="857" t="inlineStr">
        <is>
          <t>【塾】化学の新演習</t>
        </is>
      </c>
      <c r="R144" s="857" t="inlineStr">
        <is>
          <t>←</t>
        </is>
      </c>
      <c r="S144" s="857" t="inlineStr">
        <is>
          <t>←</t>
        </is>
      </c>
      <c r="T144" s="857" t="inlineStr">
        <is>
          <t>←</t>
        </is>
      </c>
      <c r="U144" s="857" t="inlineStr">
        <is>
          <t>【塾】{志望校}過去問</t>
        </is>
      </c>
      <c r="V144" s="857" t="inlineStr">
        <is>
          <t>←</t>
        </is>
      </c>
    </row>
    <row r="145">
      <c r="A145" s="857" t="inlineStr">
        <is>
          <t>国立理系|化学|難関|家</t>
        </is>
      </c>
      <c r="B145" s="857" t="inlineStr">
        <is>
          <t>国立理系</t>
        </is>
      </c>
      <c r="C145" s="857" t="inlineStr">
        <is>
          <t>化学</t>
        </is>
      </c>
      <c r="D145" s="857" t="inlineStr">
        <is>
          <t>難関</t>
        </is>
      </c>
      <c r="E145" s="857" t="inlineStr">
        <is>
          <t>家</t>
        </is>
      </c>
      <c r="F145" s="857" t="inlineStr">
        <is>
          <t>【家】セミナー化学（基本問題の反復）</t>
        </is>
      </c>
      <c r="G145" s="857" t="inlineStr">
        <is>
          <t>←</t>
        </is>
      </c>
      <c r="H145" s="857" t="inlineStr">
        <is>
          <t>←</t>
        </is>
      </c>
      <c r="I145" s="857" t="inlineStr">
        <is>
          <t>←</t>
        </is>
      </c>
      <c r="J145" s="857" t="inlineStr">
        <is>
          <t>←</t>
        </is>
      </c>
      <c r="K145" s="857" t="inlineStr">
        <is>
          <t>←</t>
        </is>
      </c>
      <c r="L145" s="857" t="inlineStr">
        <is>
          <t>←</t>
        </is>
      </c>
      <c r="M145" s="857" t="inlineStr">
        <is>
          <t>←</t>
        </is>
      </c>
      <c r="N145" s="857" t="inlineStr">
        <is>
          <t>←</t>
        </is>
      </c>
      <c r="O145" s="857" t="inlineStr">
        <is>
          <t>←</t>
        </is>
      </c>
      <c r="P145" s="857" t="inlineStr">
        <is>
          <t>←</t>
        </is>
      </c>
      <c r="Q145" s="857" t="inlineStr">
        <is>
          <t>【家】共通テスト過去問（化学）</t>
        </is>
      </c>
      <c r="R145" s="857" t="inlineStr">
        <is>
          <t>←</t>
        </is>
      </c>
      <c r="S145" s="857" t="inlineStr">
        <is>
          <t>←</t>
        </is>
      </c>
      <c r="T145" s="857" t="inlineStr">
        <is>
          <t>←</t>
        </is>
      </c>
      <c r="U145" s="857" t="inlineStr">
        <is>
          <t>【家】{志望校}過去問</t>
        </is>
      </c>
      <c r="V145" s="857" t="inlineStr">
        <is>
          <t>←</t>
        </is>
      </c>
    </row>
    <row r="146">
      <c r="A146" s="856" t="inlineStr">
        <is>
          <t>国立理系|生物|基礎|講座</t>
        </is>
      </c>
      <c r="B146" s="856" t="inlineStr">
        <is>
          <t>国立理系</t>
        </is>
      </c>
      <c r="C146" s="856" t="inlineStr">
        <is>
          <t>生物</t>
        </is>
      </c>
      <c r="D146" s="856" t="inlineStr">
        <is>
          <t>基礎</t>
        </is>
      </c>
      <c r="E146" s="856" t="inlineStr">
        <is>
          <t>講座</t>
        </is>
      </c>
      <c r="F146" s="856" t="n"/>
      <c r="G146" s="856" t="inlineStr">
        <is>
          <t>基礎生物</t>
        </is>
      </c>
      <c r="H146" s="856" t="inlineStr">
        <is>
          <t>←</t>
        </is>
      </c>
      <c r="I146" s="856" t="inlineStr">
        <is>
          <t>←</t>
        </is>
      </c>
      <c r="J146" s="856" t="inlineStr">
        <is>
          <t>←</t>
        </is>
      </c>
      <c r="K146" s="856" t="inlineStr">
        <is>
          <t>←</t>
        </is>
      </c>
      <c r="L146" s="856" t="inlineStr">
        <is>
          <t>←</t>
        </is>
      </c>
      <c r="M146" s="856" t="inlineStr">
        <is>
          <t>←</t>
        </is>
      </c>
      <c r="N146" s="856" t="inlineStr">
        <is>
          <t>←</t>
        </is>
      </c>
      <c r="O146" s="856" t="inlineStr">
        <is>
          <t>夏期講習</t>
        </is>
      </c>
      <c r="P146" s="856" t="inlineStr">
        <is>
          <t>←</t>
        </is>
      </c>
      <c r="Q146" s="856" t="inlineStr">
        <is>
          <t>基礎生物</t>
        </is>
      </c>
      <c r="R146" s="856" t="inlineStr">
        <is>
          <t>←</t>
        </is>
      </c>
      <c r="S146" s="856" t="inlineStr">
        <is>
          <t>←</t>
        </is>
      </c>
      <c r="T146" s="856" t="inlineStr">
        <is>
          <t>←</t>
        </is>
      </c>
      <c r="U146" s="856" t="inlineStr">
        <is>
          <t>直前講習</t>
        </is>
      </c>
      <c r="V146" s="856" t="inlineStr">
        <is>
          <t>←</t>
        </is>
      </c>
    </row>
    <row r="147">
      <c r="A147" s="857" t="inlineStr">
        <is>
          <t>国立理系|生物|基礎|回</t>
        </is>
      </c>
      <c r="B147" s="857" t="inlineStr">
        <is>
          <t>国立理系</t>
        </is>
      </c>
      <c r="C147" s="857" t="inlineStr">
        <is>
          <t>生物</t>
        </is>
      </c>
      <c r="D147" s="857" t="inlineStr">
        <is>
          <t>基礎</t>
        </is>
      </c>
      <c r="E147" s="857" t="inlineStr">
        <is>
          <t>回</t>
        </is>
      </c>
      <c r="F147" s="857" t="n"/>
      <c r="G147" s="857" t="inlineStr">
        <is>
          <t>練成1</t>
        </is>
      </c>
      <c r="H147" s="857" t="inlineStr">
        <is>
          <t>練成2</t>
        </is>
      </c>
      <c r="I147" s="857" t="inlineStr">
        <is>
          <t>練成3</t>
        </is>
      </c>
      <c r="J147" s="857" t="inlineStr">
        <is>
          <t>練成4</t>
        </is>
      </c>
      <c r="K147" s="857" t="inlineStr">
        <is>
          <t>練成5</t>
        </is>
      </c>
      <c r="L147" s="857" t="inlineStr">
        <is>
          <t>練成6</t>
        </is>
      </c>
      <c r="M147" s="857" t="inlineStr">
        <is>
          <t>練成7</t>
        </is>
      </c>
      <c r="N147" s="857" t="inlineStr">
        <is>
          <t>練成8</t>
        </is>
      </c>
      <c r="O147" s="857" t="inlineStr">
        <is>
          <t>夏期1</t>
        </is>
      </c>
      <c r="P147" s="857" t="inlineStr">
        <is>
          <t>夏期2</t>
        </is>
      </c>
      <c r="Q147" s="857" t="inlineStr">
        <is>
          <t>実戦1</t>
        </is>
      </c>
      <c r="R147" s="857" t="inlineStr">
        <is>
          <t>実戦2</t>
        </is>
      </c>
      <c r="S147" s="857" t="inlineStr">
        <is>
          <t>実戦3</t>
        </is>
      </c>
      <c r="T147" s="857" t="inlineStr">
        <is>
          <t>実戦4</t>
        </is>
      </c>
      <c r="U147" s="857" t="inlineStr">
        <is>
          <t>直前1</t>
        </is>
      </c>
      <c r="V147" s="857" t="inlineStr">
        <is>
          <t>※</t>
        </is>
      </c>
    </row>
    <row r="148">
      <c r="A148" s="857" t="inlineStr">
        <is>
          <t>国立理系|生物|基礎|塾</t>
        </is>
      </c>
      <c r="B148" s="857" t="inlineStr">
        <is>
          <t>国立理系</t>
        </is>
      </c>
      <c r="C148" s="857" t="inlineStr">
        <is>
          <t>生物</t>
        </is>
      </c>
      <c r="D148" s="857" t="inlineStr">
        <is>
          <t>基礎</t>
        </is>
      </c>
      <c r="E148" s="857" t="inlineStr">
        <is>
          <t>塾</t>
        </is>
      </c>
      <c r="F148" s="857" t="inlineStr">
        <is>
          <t>【塾】生物 基礎問題精講</t>
        </is>
      </c>
      <c r="G148" s="857" t="inlineStr">
        <is>
          <t>←</t>
        </is>
      </c>
      <c r="H148" s="857" t="inlineStr">
        <is>
          <t>←</t>
        </is>
      </c>
      <c r="I148" s="857" t="inlineStr">
        <is>
          <t>←</t>
        </is>
      </c>
      <c r="J148" s="857" t="inlineStr">
        <is>
          <t>←</t>
        </is>
      </c>
      <c r="K148" s="857" t="inlineStr">
        <is>
          <t>←</t>
        </is>
      </c>
      <c r="L148" s="857" t="inlineStr">
        <is>
          <t>←</t>
        </is>
      </c>
      <c r="M148" s="857" t="inlineStr">
        <is>
          <t>←</t>
        </is>
      </c>
      <c r="N148" s="857" t="inlineStr">
        <is>
          <t>←</t>
        </is>
      </c>
      <c r="O148" s="857" t="inlineStr">
        <is>
          <t>←</t>
        </is>
      </c>
      <c r="P148" s="857" t="inlineStr">
        <is>
          <t>←</t>
        </is>
      </c>
      <c r="Q148" s="857" t="inlineStr">
        <is>
          <t>【塾】生物 基礎問題精講（反復）＋共通テスト対策</t>
        </is>
      </c>
      <c r="R148" s="857" t="inlineStr">
        <is>
          <t>←</t>
        </is>
      </c>
      <c r="S148" s="857" t="inlineStr">
        <is>
          <t>←</t>
        </is>
      </c>
      <c r="T148" s="857" t="inlineStr">
        <is>
          <t>←</t>
        </is>
      </c>
      <c r="U148" s="857" t="inlineStr">
        <is>
          <t>【塾】{志望校}過去問</t>
        </is>
      </c>
      <c r="V148" s="857" t="inlineStr">
        <is>
          <t>←</t>
        </is>
      </c>
    </row>
    <row r="149">
      <c r="A149" s="857" t="inlineStr">
        <is>
          <t>国立理系|生物|基礎|家</t>
        </is>
      </c>
      <c r="B149" s="857" t="inlineStr">
        <is>
          <t>国立理系</t>
        </is>
      </c>
      <c r="C149" s="857" t="inlineStr">
        <is>
          <t>生物</t>
        </is>
      </c>
      <c r="D149" s="857" t="inlineStr">
        <is>
          <t>基礎</t>
        </is>
      </c>
      <c r="E149" s="857" t="inlineStr">
        <is>
          <t>家</t>
        </is>
      </c>
      <c r="F149" s="857" t="inlineStr">
        <is>
          <t>【家】リードα 生物（反復）</t>
        </is>
      </c>
      <c r="G149" s="857" t="inlineStr">
        <is>
          <t>←</t>
        </is>
      </c>
      <c r="H149" s="857" t="inlineStr">
        <is>
          <t>←</t>
        </is>
      </c>
      <c r="I149" s="857" t="inlineStr">
        <is>
          <t>←</t>
        </is>
      </c>
      <c r="J149" s="857" t="inlineStr">
        <is>
          <t>←</t>
        </is>
      </c>
      <c r="K149" s="857" t="inlineStr">
        <is>
          <t>←</t>
        </is>
      </c>
      <c r="L149" s="857" t="inlineStr">
        <is>
          <t>←</t>
        </is>
      </c>
      <c r="M149" s="857" t="inlineStr">
        <is>
          <t>←</t>
        </is>
      </c>
      <c r="N149" s="857" t="inlineStr">
        <is>
          <t>←</t>
        </is>
      </c>
      <c r="O149" s="857" t="inlineStr">
        <is>
          <t>←</t>
        </is>
      </c>
      <c r="P149" s="857" t="inlineStr">
        <is>
          <t>←</t>
        </is>
      </c>
      <c r="Q149" s="857" t="inlineStr">
        <is>
          <t>【家】共通テスト過去問（生物）</t>
        </is>
      </c>
      <c r="R149" s="857" t="inlineStr">
        <is>
          <t>←</t>
        </is>
      </c>
      <c r="S149" s="857" t="inlineStr">
        <is>
          <t>←</t>
        </is>
      </c>
      <c r="T149" s="857" t="inlineStr">
        <is>
          <t>←</t>
        </is>
      </c>
      <c r="U149" s="857" t="inlineStr">
        <is>
          <t>【家】{志望校}過去問</t>
        </is>
      </c>
      <c r="V149" s="857" t="inlineStr">
        <is>
          <t>←</t>
        </is>
      </c>
    </row>
    <row r="150">
      <c r="A150" s="856" t="inlineStr">
        <is>
          <t>国立理系|生物|標準|講座</t>
        </is>
      </c>
      <c r="B150" s="856" t="inlineStr">
        <is>
          <t>国立理系</t>
        </is>
      </c>
      <c r="C150" s="856" t="inlineStr">
        <is>
          <t>生物</t>
        </is>
      </c>
      <c r="D150" s="856" t="inlineStr">
        <is>
          <t>標準</t>
        </is>
      </c>
      <c r="E150" s="856" t="inlineStr">
        <is>
          <t>講座</t>
        </is>
      </c>
      <c r="F150" s="856" t="n"/>
      <c r="G150" s="856" t="inlineStr">
        <is>
          <t>標準生物</t>
        </is>
      </c>
      <c r="H150" s="856" t="inlineStr">
        <is>
          <t>←</t>
        </is>
      </c>
      <c r="I150" s="856" t="inlineStr">
        <is>
          <t>←</t>
        </is>
      </c>
      <c r="J150" s="856" t="inlineStr">
        <is>
          <t>←</t>
        </is>
      </c>
      <c r="K150" s="856" t="inlineStr">
        <is>
          <t>←</t>
        </is>
      </c>
      <c r="L150" s="856" t="inlineStr">
        <is>
          <t>←</t>
        </is>
      </c>
      <c r="M150" s="856" t="inlineStr">
        <is>
          <t>←</t>
        </is>
      </c>
      <c r="N150" s="856" t="inlineStr">
        <is>
          <t>←</t>
        </is>
      </c>
      <c r="O150" s="856" t="inlineStr">
        <is>
          <t>夏期講習</t>
        </is>
      </c>
      <c r="P150" s="856" t="inlineStr">
        <is>
          <t>←</t>
        </is>
      </c>
      <c r="Q150" s="856" t="inlineStr">
        <is>
          <t>標準生物</t>
        </is>
      </c>
      <c r="R150" s="856" t="inlineStr">
        <is>
          <t>←</t>
        </is>
      </c>
      <c r="S150" s="856" t="inlineStr">
        <is>
          <t>←</t>
        </is>
      </c>
      <c r="T150" s="856" t="inlineStr">
        <is>
          <t>←</t>
        </is>
      </c>
      <c r="U150" s="856" t="inlineStr">
        <is>
          <t>直前講習</t>
        </is>
      </c>
      <c r="V150" s="856" t="inlineStr">
        <is>
          <t>←</t>
        </is>
      </c>
    </row>
    <row r="151">
      <c r="A151" s="857" t="inlineStr">
        <is>
          <t>国立理系|生物|標準|回</t>
        </is>
      </c>
      <c r="B151" s="857" t="inlineStr">
        <is>
          <t>国立理系</t>
        </is>
      </c>
      <c r="C151" s="857" t="inlineStr">
        <is>
          <t>生物</t>
        </is>
      </c>
      <c r="D151" s="857" t="inlineStr">
        <is>
          <t>標準</t>
        </is>
      </c>
      <c r="E151" s="857" t="inlineStr">
        <is>
          <t>回</t>
        </is>
      </c>
      <c r="F151" s="857" t="n"/>
      <c r="G151" s="857" t="inlineStr">
        <is>
          <t>練成1</t>
        </is>
      </c>
      <c r="H151" s="857" t="inlineStr">
        <is>
          <t>練成2</t>
        </is>
      </c>
      <c r="I151" s="857" t="inlineStr">
        <is>
          <t>練成3</t>
        </is>
      </c>
      <c r="J151" s="857" t="inlineStr">
        <is>
          <t>練成4</t>
        </is>
      </c>
      <c r="K151" s="857" t="inlineStr">
        <is>
          <t>練成5</t>
        </is>
      </c>
      <c r="L151" s="857" t="inlineStr">
        <is>
          <t>練成6</t>
        </is>
      </c>
      <c r="M151" s="857" t="inlineStr">
        <is>
          <t>練成7</t>
        </is>
      </c>
      <c r="N151" s="857" t="inlineStr">
        <is>
          <t>練成8</t>
        </is>
      </c>
      <c r="O151" s="857" t="inlineStr">
        <is>
          <t>夏期1</t>
        </is>
      </c>
      <c r="P151" s="857" t="inlineStr">
        <is>
          <t>夏期2</t>
        </is>
      </c>
      <c r="Q151" s="857" t="inlineStr">
        <is>
          <t>実戦1</t>
        </is>
      </c>
      <c r="R151" s="857" t="inlineStr">
        <is>
          <t>実戦2</t>
        </is>
      </c>
      <c r="S151" s="857" t="inlineStr">
        <is>
          <t>実戦3</t>
        </is>
      </c>
      <c r="T151" s="857" t="inlineStr">
        <is>
          <t>実戦4</t>
        </is>
      </c>
      <c r="U151" s="857" t="inlineStr">
        <is>
          <t>直前1</t>
        </is>
      </c>
      <c r="V151" s="857" t="inlineStr">
        <is>
          <t>※</t>
        </is>
      </c>
    </row>
    <row r="152">
      <c r="A152" s="857" t="inlineStr">
        <is>
          <t>国立理系|生物|標準|塾</t>
        </is>
      </c>
      <c r="B152" s="857" t="inlineStr">
        <is>
          <t>国立理系</t>
        </is>
      </c>
      <c r="C152" s="857" t="inlineStr">
        <is>
          <t>生物</t>
        </is>
      </c>
      <c r="D152" s="857" t="inlineStr">
        <is>
          <t>標準</t>
        </is>
      </c>
      <c r="E152" s="857" t="inlineStr">
        <is>
          <t>塾</t>
        </is>
      </c>
      <c r="F152" s="857" t="inlineStr">
        <is>
          <t>【塾】生物 基礎問題精講</t>
        </is>
      </c>
      <c r="G152" s="857" t="inlineStr">
        <is>
          <t>←</t>
        </is>
      </c>
      <c r="H152" s="857" t="inlineStr">
        <is>
          <t>←</t>
        </is>
      </c>
      <c r="I152" s="857" t="inlineStr">
        <is>
          <t>←</t>
        </is>
      </c>
      <c r="J152" s="857" t="inlineStr">
        <is>
          <t>←</t>
        </is>
      </c>
      <c r="K152" s="857" t="inlineStr">
        <is>
          <t>←</t>
        </is>
      </c>
      <c r="L152" s="857" t="inlineStr">
        <is>
          <t>←</t>
        </is>
      </c>
      <c r="M152" s="857" t="inlineStr">
        <is>
          <t>←</t>
        </is>
      </c>
      <c r="N152" s="857" t="inlineStr">
        <is>
          <t>←</t>
        </is>
      </c>
      <c r="O152" s="857" t="inlineStr">
        <is>
          <t>←</t>
        </is>
      </c>
      <c r="P152" s="857" t="inlineStr">
        <is>
          <t>←</t>
        </is>
      </c>
      <c r="Q152" s="857" t="inlineStr">
        <is>
          <t>【塾】生物 重要問題集</t>
        </is>
      </c>
      <c r="R152" s="857" t="inlineStr">
        <is>
          <t>←</t>
        </is>
      </c>
      <c r="S152" s="857" t="inlineStr">
        <is>
          <t>←</t>
        </is>
      </c>
      <c r="T152" s="857" t="inlineStr">
        <is>
          <t>←</t>
        </is>
      </c>
      <c r="U152" s="857" t="inlineStr">
        <is>
          <t>【塾】{志望校}過去問</t>
        </is>
      </c>
      <c r="V152" s="857" t="inlineStr">
        <is>
          <t>←</t>
        </is>
      </c>
    </row>
    <row r="153">
      <c r="A153" s="857" t="inlineStr">
        <is>
          <t>国立理系|生物|標準|家</t>
        </is>
      </c>
      <c r="B153" s="857" t="inlineStr">
        <is>
          <t>国立理系</t>
        </is>
      </c>
      <c r="C153" s="857" t="inlineStr">
        <is>
          <t>生物</t>
        </is>
      </c>
      <c r="D153" s="857" t="inlineStr">
        <is>
          <t>標準</t>
        </is>
      </c>
      <c r="E153" s="857" t="inlineStr">
        <is>
          <t>家</t>
        </is>
      </c>
      <c r="F153" s="857" t="inlineStr">
        <is>
          <t>【家】リードα 生物（反復）</t>
        </is>
      </c>
      <c r="G153" s="857" t="inlineStr">
        <is>
          <t>←</t>
        </is>
      </c>
      <c r="H153" s="857" t="inlineStr">
        <is>
          <t>←</t>
        </is>
      </c>
      <c r="I153" s="857" t="inlineStr">
        <is>
          <t>←</t>
        </is>
      </c>
      <c r="J153" s="857" t="inlineStr">
        <is>
          <t>←</t>
        </is>
      </c>
      <c r="K153" s="857" t="inlineStr">
        <is>
          <t>←</t>
        </is>
      </c>
      <c r="L153" s="857" t="inlineStr">
        <is>
          <t>←</t>
        </is>
      </c>
      <c r="M153" s="857" t="inlineStr">
        <is>
          <t>←</t>
        </is>
      </c>
      <c r="N153" s="857" t="inlineStr">
        <is>
          <t>←</t>
        </is>
      </c>
      <c r="O153" s="857" t="inlineStr">
        <is>
          <t>←</t>
        </is>
      </c>
      <c r="P153" s="857" t="inlineStr">
        <is>
          <t>←</t>
        </is>
      </c>
      <c r="Q153" s="857" t="inlineStr">
        <is>
          <t>【家】共通テスト過去問（生物）</t>
        </is>
      </c>
      <c r="R153" s="857" t="inlineStr">
        <is>
          <t>←</t>
        </is>
      </c>
      <c r="S153" s="857" t="inlineStr">
        <is>
          <t>←</t>
        </is>
      </c>
      <c r="T153" s="857" t="inlineStr">
        <is>
          <t>←</t>
        </is>
      </c>
      <c r="U153" s="857" t="inlineStr">
        <is>
          <t>【家】{志望校}過去問</t>
        </is>
      </c>
      <c r="V153" s="857" t="inlineStr">
        <is>
          <t>←</t>
        </is>
      </c>
    </row>
    <row r="154">
      <c r="A154" s="856" t="inlineStr">
        <is>
          <t>国立理系|生物|難関|講座</t>
        </is>
      </c>
      <c r="B154" s="856" t="inlineStr">
        <is>
          <t>国立理系</t>
        </is>
      </c>
      <c r="C154" s="856" t="inlineStr">
        <is>
          <t>生物</t>
        </is>
      </c>
      <c r="D154" s="856" t="inlineStr">
        <is>
          <t>難関</t>
        </is>
      </c>
      <c r="E154" s="856" t="inlineStr">
        <is>
          <t>講座</t>
        </is>
      </c>
      <c r="F154" s="856" t="n"/>
      <c r="G154" s="856" t="inlineStr">
        <is>
          <t>難関大生物</t>
        </is>
      </c>
      <c r="H154" s="856" t="inlineStr">
        <is>
          <t>←</t>
        </is>
      </c>
      <c r="I154" s="856" t="inlineStr">
        <is>
          <t>←</t>
        </is>
      </c>
      <c r="J154" s="856" t="inlineStr">
        <is>
          <t>←</t>
        </is>
      </c>
      <c r="K154" s="856" t="inlineStr">
        <is>
          <t>←</t>
        </is>
      </c>
      <c r="L154" s="856" t="inlineStr">
        <is>
          <t>←</t>
        </is>
      </c>
      <c r="M154" s="856" t="inlineStr">
        <is>
          <t>←</t>
        </is>
      </c>
      <c r="N154" s="856" t="inlineStr">
        <is>
          <t>←</t>
        </is>
      </c>
      <c r="O154" s="856" t="inlineStr">
        <is>
          <t>夏期講習</t>
        </is>
      </c>
      <c r="P154" s="856" t="inlineStr">
        <is>
          <t>←</t>
        </is>
      </c>
      <c r="Q154" s="856" t="inlineStr">
        <is>
          <t>難関大生物</t>
        </is>
      </c>
      <c r="R154" s="856" t="inlineStr">
        <is>
          <t>←</t>
        </is>
      </c>
      <c r="S154" s="856" t="inlineStr">
        <is>
          <t>←</t>
        </is>
      </c>
      <c r="T154" s="856" t="inlineStr">
        <is>
          <t>←</t>
        </is>
      </c>
      <c r="U154" s="856" t="inlineStr">
        <is>
          <t>直前講習</t>
        </is>
      </c>
      <c r="V154" s="856" t="inlineStr">
        <is>
          <t>←</t>
        </is>
      </c>
    </row>
    <row r="155">
      <c r="A155" s="857" t="inlineStr">
        <is>
          <t>国立理系|生物|難関|回</t>
        </is>
      </c>
      <c r="B155" s="857" t="inlineStr">
        <is>
          <t>国立理系</t>
        </is>
      </c>
      <c r="C155" s="857" t="inlineStr">
        <is>
          <t>生物</t>
        </is>
      </c>
      <c r="D155" s="857" t="inlineStr">
        <is>
          <t>難関</t>
        </is>
      </c>
      <c r="E155" s="857" t="inlineStr">
        <is>
          <t>回</t>
        </is>
      </c>
      <c r="F155" s="857" t="n"/>
      <c r="G155" s="857" t="inlineStr">
        <is>
          <t>練成1</t>
        </is>
      </c>
      <c r="H155" s="857" t="inlineStr">
        <is>
          <t>練成2</t>
        </is>
      </c>
      <c r="I155" s="857" t="inlineStr">
        <is>
          <t>練成3</t>
        </is>
      </c>
      <c r="J155" s="857" t="inlineStr">
        <is>
          <t>練成4</t>
        </is>
      </c>
      <c r="K155" s="857" t="inlineStr">
        <is>
          <t>練成5</t>
        </is>
      </c>
      <c r="L155" s="857" t="inlineStr">
        <is>
          <t>練成6</t>
        </is>
      </c>
      <c r="M155" s="857" t="inlineStr">
        <is>
          <t>練成7</t>
        </is>
      </c>
      <c r="N155" s="857" t="inlineStr">
        <is>
          <t>練成8</t>
        </is>
      </c>
      <c r="O155" s="857" t="inlineStr">
        <is>
          <t>夏期1</t>
        </is>
      </c>
      <c r="P155" s="857" t="inlineStr">
        <is>
          <t>夏期2</t>
        </is>
      </c>
      <c r="Q155" s="857" t="inlineStr">
        <is>
          <t>実戦1</t>
        </is>
      </c>
      <c r="R155" s="857" t="inlineStr">
        <is>
          <t>実戦2</t>
        </is>
      </c>
      <c r="S155" s="857" t="inlineStr">
        <is>
          <t>実戦3</t>
        </is>
      </c>
      <c r="T155" s="857" t="inlineStr">
        <is>
          <t>実戦4</t>
        </is>
      </c>
      <c r="U155" s="857" t="inlineStr">
        <is>
          <t>直前1</t>
        </is>
      </c>
      <c r="V155" s="857" t="inlineStr">
        <is>
          <t>※</t>
        </is>
      </c>
    </row>
    <row r="156">
      <c r="A156" s="857" t="inlineStr">
        <is>
          <t>国立理系|生物|難関|塾</t>
        </is>
      </c>
      <c r="B156" s="857" t="inlineStr">
        <is>
          <t>国立理系</t>
        </is>
      </c>
      <c r="C156" s="857" t="inlineStr">
        <is>
          <t>生物</t>
        </is>
      </c>
      <c r="D156" s="857" t="inlineStr">
        <is>
          <t>難関</t>
        </is>
      </c>
      <c r="E156" s="857" t="inlineStr">
        <is>
          <t>塾</t>
        </is>
      </c>
      <c r="F156" s="857" t="inlineStr">
        <is>
          <t>【塾】生物 重要問題集</t>
        </is>
      </c>
      <c r="G156" s="857" t="inlineStr">
        <is>
          <t>←</t>
        </is>
      </c>
      <c r="H156" s="857" t="inlineStr">
        <is>
          <t>←</t>
        </is>
      </c>
      <c r="I156" s="857" t="inlineStr">
        <is>
          <t>←</t>
        </is>
      </c>
      <c r="J156" s="857" t="inlineStr">
        <is>
          <t>←</t>
        </is>
      </c>
      <c r="K156" s="857" t="inlineStr">
        <is>
          <t>←</t>
        </is>
      </c>
      <c r="L156" s="857" t="inlineStr">
        <is>
          <t>←</t>
        </is>
      </c>
      <c r="M156" s="857" t="inlineStr">
        <is>
          <t>←</t>
        </is>
      </c>
      <c r="N156" s="857" t="inlineStr">
        <is>
          <t>←</t>
        </is>
      </c>
      <c r="O156" s="857" t="inlineStr">
        <is>
          <t>←</t>
        </is>
      </c>
      <c r="P156" s="857" t="inlineStr">
        <is>
          <t>←</t>
        </is>
      </c>
      <c r="Q156" s="857" t="inlineStr">
        <is>
          <t>【塾】生物 標準問題精講</t>
        </is>
      </c>
      <c r="R156" s="857" t="inlineStr">
        <is>
          <t>←</t>
        </is>
      </c>
      <c r="S156" s="857" t="inlineStr">
        <is>
          <t>←</t>
        </is>
      </c>
      <c r="T156" s="857" t="inlineStr">
        <is>
          <t>←</t>
        </is>
      </c>
      <c r="U156" s="857" t="inlineStr">
        <is>
          <t>【塾】{志望校}過去問</t>
        </is>
      </c>
      <c r="V156" s="857" t="inlineStr">
        <is>
          <t>←</t>
        </is>
      </c>
    </row>
    <row r="157">
      <c r="A157" s="857" t="inlineStr">
        <is>
          <t>国立理系|生物|難関|家</t>
        </is>
      </c>
      <c r="B157" s="857" t="inlineStr">
        <is>
          <t>国立理系</t>
        </is>
      </c>
      <c r="C157" s="857" t="inlineStr">
        <is>
          <t>生物</t>
        </is>
      </c>
      <c r="D157" s="857" t="inlineStr">
        <is>
          <t>難関</t>
        </is>
      </c>
      <c r="E157" s="857" t="inlineStr">
        <is>
          <t>家</t>
        </is>
      </c>
      <c r="F157" s="857" t="inlineStr">
        <is>
          <t>【家】リードα 生物（反復）</t>
        </is>
      </c>
      <c r="G157" s="857" t="inlineStr">
        <is>
          <t>←</t>
        </is>
      </c>
      <c r="H157" s="857" t="inlineStr">
        <is>
          <t>←</t>
        </is>
      </c>
      <c r="I157" s="857" t="inlineStr">
        <is>
          <t>←</t>
        </is>
      </c>
      <c r="J157" s="857" t="inlineStr">
        <is>
          <t>←</t>
        </is>
      </c>
      <c r="K157" s="857" t="inlineStr">
        <is>
          <t>←</t>
        </is>
      </c>
      <c r="L157" s="857" t="inlineStr">
        <is>
          <t>←</t>
        </is>
      </c>
      <c r="M157" s="857" t="inlineStr">
        <is>
          <t>←</t>
        </is>
      </c>
      <c r="N157" s="857" t="inlineStr">
        <is>
          <t>←</t>
        </is>
      </c>
      <c r="O157" s="857" t="inlineStr">
        <is>
          <t>←</t>
        </is>
      </c>
      <c r="P157" s="857" t="inlineStr">
        <is>
          <t>←</t>
        </is>
      </c>
      <c r="Q157" s="857" t="inlineStr">
        <is>
          <t>【家】共通テスト過去問（生物）</t>
        </is>
      </c>
      <c r="R157" s="857" t="inlineStr">
        <is>
          <t>←</t>
        </is>
      </c>
      <c r="S157" s="857" t="inlineStr">
        <is>
          <t>←</t>
        </is>
      </c>
      <c r="T157" s="857" t="inlineStr">
        <is>
          <t>←</t>
        </is>
      </c>
      <c r="U157" s="857" t="inlineStr">
        <is>
          <t>【家】{志望校}過去問</t>
        </is>
      </c>
      <c r="V157" s="857" t="inlineStr">
        <is>
          <t>←</t>
        </is>
      </c>
    </row>
    <row r="158">
      <c r="A158" s="856" t="inlineStr">
        <is>
          <t>私大文系|英語|基礎|講座</t>
        </is>
      </c>
      <c r="B158" s="856" t="inlineStr">
        <is>
          <t>私大文系</t>
        </is>
      </c>
      <c r="C158" s="856" t="inlineStr">
        <is>
          <t>英語</t>
        </is>
      </c>
      <c r="D158" s="856" t="inlineStr">
        <is>
          <t>基礎</t>
        </is>
      </c>
      <c r="E158" s="856" t="inlineStr">
        <is>
          <t>講座</t>
        </is>
      </c>
      <c r="F158" s="856" t="n"/>
      <c r="G158" s="856" t="inlineStr">
        <is>
          <t>基礎英語（文法・構文）</t>
        </is>
      </c>
      <c r="H158" s="856" t="inlineStr">
        <is>
          <t>←</t>
        </is>
      </c>
      <c r="I158" s="856" t="inlineStr">
        <is>
          <t>←</t>
        </is>
      </c>
      <c r="J158" s="856" t="inlineStr">
        <is>
          <t>←</t>
        </is>
      </c>
      <c r="K158" s="856" t="inlineStr">
        <is>
          <t>←</t>
        </is>
      </c>
      <c r="L158" s="856" t="inlineStr">
        <is>
          <t>←</t>
        </is>
      </c>
      <c r="M158" s="856" t="inlineStr">
        <is>
          <t>←</t>
        </is>
      </c>
      <c r="N158" s="856" t="inlineStr">
        <is>
          <t>←</t>
        </is>
      </c>
      <c r="O158" s="856" t="inlineStr">
        <is>
          <t>夏期講習</t>
        </is>
      </c>
      <c r="P158" s="856" t="inlineStr">
        <is>
          <t>←</t>
        </is>
      </c>
      <c r="Q158" s="856" t="inlineStr">
        <is>
          <t>基礎英語（文法・構文）</t>
        </is>
      </c>
      <c r="R158" s="856" t="inlineStr">
        <is>
          <t>←</t>
        </is>
      </c>
      <c r="S158" s="856" t="inlineStr">
        <is>
          <t>←</t>
        </is>
      </c>
      <c r="T158" s="856" t="inlineStr">
        <is>
          <t>←</t>
        </is>
      </c>
      <c r="U158" s="856" t="inlineStr">
        <is>
          <t>直前講習</t>
        </is>
      </c>
      <c r="V158" s="856" t="inlineStr">
        <is>
          <t>←</t>
        </is>
      </c>
    </row>
    <row r="159">
      <c r="A159" s="857" t="inlineStr">
        <is>
          <t>私大文系|英語|基礎|回</t>
        </is>
      </c>
      <c r="B159" s="857" t="inlineStr">
        <is>
          <t>私大文系</t>
        </is>
      </c>
      <c r="C159" s="857" t="inlineStr">
        <is>
          <t>英語</t>
        </is>
      </c>
      <c r="D159" s="857" t="inlineStr">
        <is>
          <t>基礎</t>
        </is>
      </c>
      <c r="E159" s="857" t="inlineStr">
        <is>
          <t>回</t>
        </is>
      </c>
      <c r="F159" s="857" t="n"/>
      <c r="G159" s="857" t="inlineStr">
        <is>
          <t>練成1</t>
        </is>
      </c>
      <c r="H159" s="857" t="inlineStr">
        <is>
          <t>練成2</t>
        </is>
      </c>
      <c r="I159" s="857" t="inlineStr">
        <is>
          <t>練成3</t>
        </is>
      </c>
      <c r="J159" s="857" t="inlineStr">
        <is>
          <t>練成4</t>
        </is>
      </c>
      <c r="K159" s="857" t="inlineStr">
        <is>
          <t>練成5</t>
        </is>
      </c>
      <c r="L159" s="857" t="inlineStr">
        <is>
          <t>練成6</t>
        </is>
      </c>
      <c r="M159" s="857" t="inlineStr">
        <is>
          <t>練成7</t>
        </is>
      </c>
      <c r="N159" s="857" t="inlineStr">
        <is>
          <t>練成8</t>
        </is>
      </c>
      <c r="O159" s="857" t="inlineStr">
        <is>
          <t>夏期1</t>
        </is>
      </c>
      <c r="P159" s="857" t="inlineStr">
        <is>
          <t>夏期2</t>
        </is>
      </c>
      <c r="Q159" s="857" t="inlineStr">
        <is>
          <t>実戦1</t>
        </is>
      </c>
      <c r="R159" s="857" t="inlineStr">
        <is>
          <t>実戦2</t>
        </is>
      </c>
      <c r="S159" s="857" t="inlineStr">
        <is>
          <t>実戦3</t>
        </is>
      </c>
      <c r="T159" s="857" t="inlineStr">
        <is>
          <t>実戦4</t>
        </is>
      </c>
      <c r="U159" s="857" t="inlineStr">
        <is>
          <t>直前1</t>
        </is>
      </c>
      <c r="V159" s="857" t="inlineStr">
        <is>
          <t>※</t>
        </is>
      </c>
    </row>
    <row r="160">
      <c r="A160" s="857" t="inlineStr">
        <is>
          <t>私大文系|英語|基礎|塾</t>
        </is>
      </c>
      <c r="B160" s="857" t="inlineStr">
        <is>
          <t>私大文系</t>
        </is>
      </c>
      <c r="C160" s="857" t="inlineStr">
        <is>
          <t>英語</t>
        </is>
      </c>
      <c r="D160" s="857" t="inlineStr">
        <is>
          <t>基礎</t>
        </is>
      </c>
      <c r="E160" s="857" t="inlineStr">
        <is>
          <t>塾</t>
        </is>
      </c>
      <c r="F160" s="857" t="inlineStr">
        <is>
          <t>【塾】大岩のいちばんはじめの英文法【超基礎文法編】</t>
        </is>
      </c>
      <c r="G160" s="857" t="inlineStr">
        <is>
          <t>←</t>
        </is>
      </c>
      <c r="H160" s="857" t="inlineStr">
        <is>
          <t>←</t>
        </is>
      </c>
      <c r="I160" s="857" t="inlineStr">
        <is>
          <t>←</t>
        </is>
      </c>
      <c r="J160" s="857" t="inlineStr">
        <is>
          <t>【塾】英文法・語法 Vintage＋入門英文解釈の技術70</t>
        </is>
      </c>
      <c r="K160" s="857" t="inlineStr">
        <is>
          <t>←</t>
        </is>
      </c>
      <c r="L160" s="857" t="inlineStr">
        <is>
          <t>←</t>
        </is>
      </c>
      <c r="M160" s="857" t="inlineStr">
        <is>
          <t>←</t>
        </is>
      </c>
      <c r="N160" s="857" t="inlineStr">
        <is>
          <t>←</t>
        </is>
      </c>
      <c r="O160" s="857" t="inlineStr">
        <is>
          <t>←</t>
        </is>
      </c>
      <c r="P160" s="857" t="inlineStr">
        <is>
          <t>←</t>
        </is>
      </c>
      <c r="Q160" s="857" t="inlineStr">
        <is>
          <t>【塾】やっておきたい英語長文300</t>
        </is>
      </c>
      <c r="R160" s="857" t="inlineStr">
        <is>
          <t>←</t>
        </is>
      </c>
      <c r="S160" s="857" t="inlineStr">
        <is>
          <t>←</t>
        </is>
      </c>
      <c r="T160" s="857" t="inlineStr">
        <is>
          <t>←</t>
        </is>
      </c>
      <c r="U160" s="857" t="inlineStr">
        <is>
          <t>【塾】{志望校}過去問</t>
        </is>
      </c>
      <c r="V160" s="857" t="inlineStr">
        <is>
          <t>←</t>
        </is>
      </c>
    </row>
    <row r="161">
      <c r="A161" s="857" t="inlineStr">
        <is>
          <t>私大文系|英語|基礎|家</t>
        </is>
      </c>
      <c r="B161" s="857" t="inlineStr">
        <is>
          <t>私大文系</t>
        </is>
      </c>
      <c r="C161" s="857" t="inlineStr">
        <is>
          <t>英語</t>
        </is>
      </c>
      <c r="D161" s="857" t="inlineStr">
        <is>
          <t>基礎</t>
        </is>
      </c>
      <c r="E161" s="857" t="inlineStr">
        <is>
          <t>家</t>
        </is>
      </c>
      <c r="F161" s="857" t="inlineStr">
        <is>
          <t>【家】ターゲット1400（毎週テスト）</t>
        </is>
      </c>
      <c r="G161" s="857" t="inlineStr">
        <is>
          <t>←</t>
        </is>
      </c>
      <c r="H161" s="857" t="inlineStr">
        <is>
          <t>←</t>
        </is>
      </c>
      <c r="I161" s="857" t="inlineStr">
        <is>
          <t>←</t>
        </is>
      </c>
      <c r="J161" s="857" t="inlineStr">
        <is>
          <t>←</t>
        </is>
      </c>
      <c r="K161" s="857" t="inlineStr">
        <is>
          <t>←</t>
        </is>
      </c>
      <c r="L161" s="857" t="inlineStr">
        <is>
          <t>←</t>
        </is>
      </c>
      <c r="M161" s="857" t="inlineStr">
        <is>
          <t>←</t>
        </is>
      </c>
      <c r="N161" s="857" t="inlineStr">
        <is>
          <t>←</t>
        </is>
      </c>
      <c r="O161" s="857" t="inlineStr">
        <is>
          <t>←</t>
        </is>
      </c>
      <c r="P161" s="857" t="inlineStr">
        <is>
          <t>←</t>
        </is>
      </c>
      <c r="Q161" s="857" t="inlineStr">
        <is>
          <t>【家】ターゲット1400仕上げ→1900</t>
        </is>
      </c>
      <c r="R161" s="857" t="inlineStr">
        <is>
          <t>←</t>
        </is>
      </c>
      <c r="S161" s="857" t="inlineStr">
        <is>
          <t>←</t>
        </is>
      </c>
      <c r="T161" s="857" t="inlineStr">
        <is>
          <t>←</t>
        </is>
      </c>
      <c r="U161" s="857" t="inlineStr">
        <is>
          <t>【家】{志望校}過去問</t>
        </is>
      </c>
      <c r="V161" s="857" t="inlineStr">
        <is>
          <t>←</t>
        </is>
      </c>
    </row>
    <row r="162">
      <c r="A162" s="856" t="inlineStr">
        <is>
          <t>私大文系|英語|標準|講座</t>
        </is>
      </c>
      <c r="B162" s="856" t="inlineStr">
        <is>
          <t>私大文系</t>
        </is>
      </c>
      <c r="C162" s="856" t="inlineStr">
        <is>
          <t>英語</t>
        </is>
      </c>
      <c r="D162" s="856" t="inlineStr">
        <is>
          <t>標準</t>
        </is>
      </c>
      <c r="E162" s="856" t="inlineStr">
        <is>
          <t>講座</t>
        </is>
      </c>
      <c r="F162" s="856" t="n"/>
      <c r="G162" s="856" t="inlineStr">
        <is>
          <t>入試標準英語</t>
        </is>
      </c>
      <c r="H162" s="856" t="inlineStr">
        <is>
          <t>←</t>
        </is>
      </c>
      <c r="I162" s="856" t="inlineStr">
        <is>
          <t>←</t>
        </is>
      </c>
      <c r="J162" s="856" t="inlineStr">
        <is>
          <t>←</t>
        </is>
      </c>
      <c r="K162" s="856" t="inlineStr">
        <is>
          <t>←</t>
        </is>
      </c>
      <c r="L162" s="856" t="inlineStr">
        <is>
          <t>←</t>
        </is>
      </c>
      <c r="M162" s="856" t="inlineStr">
        <is>
          <t>←</t>
        </is>
      </c>
      <c r="N162" s="856" t="inlineStr">
        <is>
          <t>←</t>
        </is>
      </c>
      <c r="O162" s="856" t="inlineStr">
        <is>
          <t>夏期講習</t>
        </is>
      </c>
      <c r="P162" s="856" t="inlineStr">
        <is>
          <t>←</t>
        </is>
      </c>
      <c r="Q162" s="856" t="inlineStr">
        <is>
          <t>入試標準英語</t>
        </is>
      </c>
      <c r="R162" s="856" t="inlineStr">
        <is>
          <t>←</t>
        </is>
      </c>
      <c r="S162" s="856" t="inlineStr">
        <is>
          <t>←</t>
        </is>
      </c>
      <c r="T162" s="856" t="inlineStr">
        <is>
          <t>←</t>
        </is>
      </c>
      <c r="U162" s="856" t="inlineStr">
        <is>
          <t>直前講習</t>
        </is>
      </c>
      <c r="V162" s="856" t="inlineStr">
        <is>
          <t>←</t>
        </is>
      </c>
    </row>
    <row r="163">
      <c r="A163" s="857" t="inlineStr">
        <is>
          <t>私大文系|英語|標準|回</t>
        </is>
      </c>
      <c r="B163" s="857" t="inlineStr">
        <is>
          <t>私大文系</t>
        </is>
      </c>
      <c r="C163" s="857" t="inlineStr">
        <is>
          <t>英語</t>
        </is>
      </c>
      <c r="D163" s="857" t="inlineStr">
        <is>
          <t>標準</t>
        </is>
      </c>
      <c r="E163" s="857" t="inlineStr">
        <is>
          <t>回</t>
        </is>
      </c>
      <c r="F163" s="857" t="n"/>
      <c r="G163" s="857" t="inlineStr">
        <is>
          <t>練成1</t>
        </is>
      </c>
      <c r="H163" s="857" t="inlineStr">
        <is>
          <t>練成2</t>
        </is>
      </c>
      <c r="I163" s="857" t="inlineStr">
        <is>
          <t>練成3</t>
        </is>
      </c>
      <c r="J163" s="857" t="inlineStr">
        <is>
          <t>練成4</t>
        </is>
      </c>
      <c r="K163" s="857" t="inlineStr">
        <is>
          <t>練成5</t>
        </is>
      </c>
      <c r="L163" s="857" t="inlineStr">
        <is>
          <t>練成6</t>
        </is>
      </c>
      <c r="M163" s="857" t="inlineStr">
        <is>
          <t>練成7</t>
        </is>
      </c>
      <c r="N163" s="857" t="inlineStr">
        <is>
          <t>練成8</t>
        </is>
      </c>
      <c r="O163" s="857" t="inlineStr">
        <is>
          <t>夏期1</t>
        </is>
      </c>
      <c r="P163" s="857" t="inlineStr">
        <is>
          <t>夏期2</t>
        </is>
      </c>
      <c r="Q163" s="857" t="inlineStr">
        <is>
          <t>実戦1</t>
        </is>
      </c>
      <c r="R163" s="857" t="inlineStr">
        <is>
          <t>実戦2</t>
        </is>
      </c>
      <c r="S163" s="857" t="inlineStr">
        <is>
          <t>実戦3</t>
        </is>
      </c>
      <c r="T163" s="857" t="inlineStr">
        <is>
          <t>実戦4</t>
        </is>
      </c>
      <c r="U163" s="857" t="inlineStr">
        <is>
          <t>直前1</t>
        </is>
      </c>
      <c r="V163" s="857" t="inlineStr">
        <is>
          <t>※</t>
        </is>
      </c>
    </row>
    <row r="164">
      <c r="A164" s="857" t="inlineStr">
        <is>
          <t>私大文系|英語|標準|塾</t>
        </is>
      </c>
      <c r="B164" s="857" t="inlineStr">
        <is>
          <t>私大文系</t>
        </is>
      </c>
      <c r="C164" s="857" t="inlineStr">
        <is>
          <t>英語</t>
        </is>
      </c>
      <c r="D164" s="857" t="inlineStr">
        <is>
          <t>標準</t>
        </is>
      </c>
      <c r="E164" s="857" t="inlineStr">
        <is>
          <t>塾</t>
        </is>
      </c>
      <c r="F164" s="857" t="inlineStr">
        <is>
          <t>【塾】英文法・語法 Vintage</t>
        </is>
      </c>
      <c r="G164" s="857" t="inlineStr">
        <is>
          <t>←</t>
        </is>
      </c>
      <c r="H164" s="857" t="inlineStr">
        <is>
          <t>←</t>
        </is>
      </c>
      <c r="I164" s="857" t="inlineStr">
        <is>
          <t>←</t>
        </is>
      </c>
      <c r="J164" s="857" t="inlineStr">
        <is>
          <t>【塾】入門英文解釈の技術70（精読）</t>
        </is>
      </c>
      <c r="K164" s="857" t="inlineStr">
        <is>
          <t>←</t>
        </is>
      </c>
      <c r="L164" s="857" t="inlineStr">
        <is>
          <t>←</t>
        </is>
      </c>
      <c r="M164" s="857" t="inlineStr">
        <is>
          <t>←</t>
        </is>
      </c>
      <c r="N164" s="857" t="inlineStr">
        <is>
          <t>←</t>
        </is>
      </c>
      <c r="O164" s="857" t="inlineStr">
        <is>
          <t>←</t>
        </is>
      </c>
      <c r="P164" s="857" t="inlineStr">
        <is>
          <t>←</t>
        </is>
      </c>
      <c r="Q164" s="857" t="inlineStr">
        <is>
          <t>【塾】やっておきたい英語長文500</t>
        </is>
      </c>
      <c r="R164" s="857" t="inlineStr">
        <is>
          <t>←</t>
        </is>
      </c>
      <c r="S164" s="857" t="inlineStr">
        <is>
          <t>←</t>
        </is>
      </c>
      <c r="T164" s="857" t="inlineStr">
        <is>
          <t>←</t>
        </is>
      </c>
      <c r="U164" s="857" t="inlineStr">
        <is>
          <t>【塾】{志望校}過去問</t>
        </is>
      </c>
      <c r="V164" s="857" t="inlineStr">
        <is>
          <t>←</t>
        </is>
      </c>
    </row>
    <row r="165">
      <c r="A165" s="857" t="inlineStr">
        <is>
          <t>私大文系|英語|標準|家</t>
        </is>
      </c>
      <c r="B165" s="857" t="inlineStr">
        <is>
          <t>私大文系</t>
        </is>
      </c>
      <c r="C165" s="857" t="inlineStr">
        <is>
          <t>英語</t>
        </is>
      </c>
      <c r="D165" s="857" t="inlineStr">
        <is>
          <t>標準</t>
        </is>
      </c>
      <c r="E165" s="857" t="inlineStr">
        <is>
          <t>家</t>
        </is>
      </c>
      <c r="F165" s="857" t="inlineStr">
        <is>
          <t>【家】ターゲット1900（毎週テスト）</t>
        </is>
      </c>
      <c r="G165" s="857" t="inlineStr">
        <is>
          <t>←</t>
        </is>
      </c>
      <c r="H165" s="857" t="inlineStr">
        <is>
          <t>←</t>
        </is>
      </c>
      <c r="I165" s="857" t="inlineStr">
        <is>
          <t>←</t>
        </is>
      </c>
      <c r="J165" s="857" t="inlineStr">
        <is>
          <t>【家】ターゲット1900＋解体英熟語</t>
        </is>
      </c>
      <c r="K165" s="857" t="inlineStr">
        <is>
          <t>←</t>
        </is>
      </c>
      <c r="L165" s="857" t="inlineStr">
        <is>
          <t>←</t>
        </is>
      </c>
      <c r="M165" s="857" t="inlineStr">
        <is>
          <t>←</t>
        </is>
      </c>
      <c r="N165" s="857" t="inlineStr">
        <is>
          <t>←</t>
        </is>
      </c>
      <c r="O165" s="857" t="inlineStr">
        <is>
          <t>←</t>
        </is>
      </c>
      <c r="P165" s="857" t="inlineStr">
        <is>
          <t>←</t>
        </is>
      </c>
      <c r="Q165" s="857" t="inlineStr">
        <is>
          <t>【家】ターゲット1900仕上げ</t>
        </is>
      </c>
      <c r="R165" s="857" t="inlineStr">
        <is>
          <t>←</t>
        </is>
      </c>
      <c r="S165" s="857" t="inlineStr">
        <is>
          <t>←</t>
        </is>
      </c>
      <c r="T165" s="857" t="inlineStr">
        <is>
          <t>←</t>
        </is>
      </c>
      <c r="U165" s="857" t="inlineStr">
        <is>
          <t>【家】{志望校}過去問</t>
        </is>
      </c>
      <c r="V165" s="857" t="inlineStr">
        <is>
          <t>←</t>
        </is>
      </c>
    </row>
    <row r="166">
      <c r="A166" s="856" t="inlineStr">
        <is>
          <t>私大文系|英語|難関|講座</t>
        </is>
      </c>
      <c r="B166" s="856" t="inlineStr">
        <is>
          <t>私大文系</t>
        </is>
      </c>
      <c r="C166" s="856" t="inlineStr">
        <is>
          <t>英語</t>
        </is>
      </c>
      <c r="D166" s="856" t="inlineStr">
        <is>
          <t>難関</t>
        </is>
      </c>
      <c r="E166" s="856" t="inlineStr">
        <is>
          <t>講座</t>
        </is>
      </c>
      <c r="F166" s="856" t="n"/>
      <c r="G166" s="856" t="inlineStr">
        <is>
          <t>難関私大英語</t>
        </is>
      </c>
      <c r="H166" s="856" t="inlineStr">
        <is>
          <t>←</t>
        </is>
      </c>
      <c r="I166" s="856" t="inlineStr">
        <is>
          <t>←</t>
        </is>
      </c>
      <c r="J166" s="856" t="inlineStr">
        <is>
          <t>←</t>
        </is>
      </c>
      <c r="K166" s="856" t="inlineStr">
        <is>
          <t>←</t>
        </is>
      </c>
      <c r="L166" s="856" t="inlineStr">
        <is>
          <t>←</t>
        </is>
      </c>
      <c r="M166" s="856" t="inlineStr">
        <is>
          <t>←</t>
        </is>
      </c>
      <c r="N166" s="856" t="inlineStr">
        <is>
          <t>←</t>
        </is>
      </c>
      <c r="O166" s="856" t="inlineStr">
        <is>
          <t>夏期講習</t>
        </is>
      </c>
      <c r="P166" s="856" t="inlineStr">
        <is>
          <t>←</t>
        </is>
      </c>
      <c r="Q166" s="856" t="inlineStr">
        <is>
          <t>難関私大英語</t>
        </is>
      </c>
      <c r="R166" s="856" t="inlineStr">
        <is>
          <t>←</t>
        </is>
      </c>
      <c r="S166" s="856" t="inlineStr">
        <is>
          <t>←</t>
        </is>
      </c>
      <c r="T166" s="856" t="inlineStr">
        <is>
          <t>←</t>
        </is>
      </c>
      <c r="U166" s="856" t="inlineStr">
        <is>
          <t>直前講習</t>
        </is>
      </c>
      <c r="V166" s="856" t="inlineStr">
        <is>
          <t>←</t>
        </is>
      </c>
    </row>
    <row r="167">
      <c r="A167" s="857" t="inlineStr">
        <is>
          <t>私大文系|英語|難関|回</t>
        </is>
      </c>
      <c r="B167" s="857" t="inlineStr">
        <is>
          <t>私大文系</t>
        </is>
      </c>
      <c r="C167" s="857" t="inlineStr">
        <is>
          <t>英語</t>
        </is>
      </c>
      <c r="D167" s="857" t="inlineStr">
        <is>
          <t>難関</t>
        </is>
      </c>
      <c r="E167" s="857" t="inlineStr">
        <is>
          <t>回</t>
        </is>
      </c>
      <c r="F167" s="857" t="n"/>
      <c r="G167" s="857" t="inlineStr">
        <is>
          <t>練成1</t>
        </is>
      </c>
      <c r="H167" s="857" t="inlineStr">
        <is>
          <t>練成2</t>
        </is>
      </c>
      <c r="I167" s="857" t="inlineStr">
        <is>
          <t>練成3</t>
        </is>
      </c>
      <c r="J167" s="857" t="inlineStr">
        <is>
          <t>練成4</t>
        </is>
      </c>
      <c r="K167" s="857" t="inlineStr">
        <is>
          <t>練成5</t>
        </is>
      </c>
      <c r="L167" s="857" t="inlineStr">
        <is>
          <t>練成6</t>
        </is>
      </c>
      <c r="M167" s="857" t="inlineStr">
        <is>
          <t>練成7</t>
        </is>
      </c>
      <c r="N167" s="857" t="inlineStr">
        <is>
          <t>練成8</t>
        </is>
      </c>
      <c r="O167" s="857" t="inlineStr">
        <is>
          <t>夏期1</t>
        </is>
      </c>
      <c r="P167" s="857" t="inlineStr">
        <is>
          <t>夏期2</t>
        </is>
      </c>
      <c r="Q167" s="857" t="inlineStr">
        <is>
          <t>実戦1</t>
        </is>
      </c>
      <c r="R167" s="857" t="inlineStr">
        <is>
          <t>実戦2</t>
        </is>
      </c>
      <c r="S167" s="857" t="inlineStr">
        <is>
          <t>実戦3</t>
        </is>
      </c>
      <c r="T167" s="857" t="inlineStr">
        <is>
          <t>実戦4</t>
        </is>
      </c>
      <c r="U167" s="857" t="inlineStr">
        <is>
          <t>直前1</t>
        </is>
      </c>
      <c r="V167" s="857" t="inlineStr">
        <is>
          <t>※</t>
        </is>
      </c>
    </row>
    <row r="168">
      <c r="A168" s="857" t="inlineStr">
        <is>
          <t>私大文系|英語|難関|塾</t>
        </is>
      </c>
      <c r="B168" s="857" t="inlineStr">
        <is>
          <t>私大文系</t>
        </is>
      </c>
      <c r="C168" s="857" t="inlineStr">
        <is>
          <t>英語</t>
        </is>
      </c>
      <c r="D168" s="857" t="inlineStr">
        <is>
          <t>難関</t>
        </is>
      </c>
      <c r="E168" s="857" t="inlineStr">
        <is>
          <t>塾</t>
        </is>
      </c>
      <c r="F168" s="857" t="inlineStr">
        <is>
          <t>【塾】英文法・語法 Vintage</t>
        </is>
      </c>
      <c r="G168" s="857" t="inlineStr">
        <is>
          <t>←</t>
        </is>
      </c>
      <c r="H168" s="857" t="inlineStr">
        <is>
          <t>←</t>
        </is>
      </c>
      <c r="I168" s="857" t="inlineStr">
        <is>
          <t>←</t>
        </is>
      </c>
      <c r="J168" s="857" t="inlineStr">
        <is>
          <t>【塾】基礎英文解釈の技術100</t>
        </is>
      </c>
      <c r="K168" s="857" t="inlineStr">
        <is>
          <t>←</t>
        </is>
      </c>
      <c r="L168" s="857" t="inlineStr">
        <is>
          <t>←</t>
        </is>
      </c>
      <c r="M168" s="857" t="inlineStr">
        <is>
          <t>←</t>
        </is>
      </c>
      <c r="N168" s="857" t="inlineStr">
        <is>
          <t>←</t>
        </is>
      </c>
      <c r="O168" s="857" t="inlineStr">
        <is>
          <t>←</t>
        </is>
      </c>
      <c r="P168" s="857" t="inlineStr">
        <is>
          <t>←</t>
        </is>
      </c>
      <c r="Q168" s="857" t="inlineStr">
        <is>
          <t>【塾】やっておきたい英語長文700</t>
        </is>
      </c>
      <c r="R168" s="857" t="inlineStr">
        <is>
          <t>←</t>
        </is>
      </c>
      <c r="S168" s="857" t="inlineStr">
        <is>
          <t>←</t>
        </is>
      </c>
      <c r="T168" s="857" t="inlineStr">
        <is>
          <t>←</t>
        </is>
      </c>
      <c r="U168" s="857" t="inlineStr">
        <is>
          <t>【塾】{志望校}過去問</t>
        </is>
      </c>
      <c r="V168" s="857" t="inlineStr">
        <is>
          <t>←</t>
        </is>
      </c>
    </row>
    <row r="169">
      <c r="A169" s="857" t="inlineStr">
        <is>
          <t>私大文系|英語|難関|家</t>
        </is>
      </c>
      <c r="B169" s="857" t="inlineStr">
        <is>
          <t>私大文系</t>
        </is>
      </c>
      <c r="C169" s="857" t="inlineStr">
        <is>
          <t>英語</t>
        </is>
      </c>
      <c r="D169" s="857" t="inlineStr">
        <is>
          <t>難関</t>
        </is>
      </c>
      <c r="E169" s="857" t="inlineStr">
        <is>
          <t>家</t>
        </is>
      </c>
      <c r="F169" s="857" t="inlineStr">
        <is>
          <t>【家】ターゲット1900（毎週テスト）</t>
        </is>
      </c>
      <c r="G169" s="857" t="inlineStr">
        <is>
          <t>←</t>
        </is>
      </c>
      <c r="H169" s="857" t="inlineStr">
        <is>
          <t>←</t>
        </is>
      </c>
      <c r="I169" s="857" t="inlineStr">
        <is>
          <t>←</t>
        </is>
      </c>
      <c r="J169" s="857" t="inlineStr">
        <is>
          <t>【家】ターゲット1900＋解体英熟語</t>
        </is>
      </c>
      <c r="K169" s="857" t="inlineStr">
        <is>
          <t>←</t>
        </is>
      </c>
      <c r="L169" s="857" t="inlineStr">
        <is>
          <t>←</t>
        </is>
      </c>
      <c r="M169" s="857" t="inlineStr">
        <is>
          <t>←</t>
        </is>
      </c>
      <c r="N169" s="857" t="inlineStr">
        <is>
          <t>←</t>
        </is>
      </c>
      <c r="O169" s="857" t="inlineStr">
        <is>
          <t>←</t>
        </is>
      </c>
      <c r="P169" s="857" t="inlineStr">
        <is>
          <t>←</t>
        </is>
      </c>
      <c r="Q169" s="857" t="inlineStr">
        <is>
          <t>【家】速読英単語 上級編＋ターゲット1900仕上げ</t>
        </is>
      </c>
      <c r="R169" s="857" t="inlineStr">
        <is>
          <t>←</t>
        </is>
      </c>
      <c r="S169" s="857" t="inlineStr">
        <is>
          <t>←</t>
        </is>
      </c>
      <c r="T169" s="857" t="inlineStr">
        <is>
          <t>←</t>
        </is>
      </c>
      <c r="U169" s="857" t="inlineStr">
        <is>
          <t>【家】{志望校}過去問</t>
        </is>
      </c>
      <c r="V169" s="857" t="inlineStr">
        <is>
          <t>←</t>
        </is>
      </c>
    </row>
    <row r="170">
      <c r="A170" s="856" t="inlineStr">
        <is>
          <t>私大文系|数学|基礎|講座</t>
        </is>
      </c>
      <c r="B170" s="856" t="inlineStr">
        <is>
          <t>私大文系</t>
        </is>
      </c>
      <c r="C170" s="856" t="inlineStr">
        <is>
          <t>数学</t>
        </is>
      </c>
      <c r="D170" s="856" t="inlineStr">
        <is>
          <t>基礎</t>
        </is>
      </c>
      <c r="E170" s="856" t="inlineStr">
        <is>
          <t>講座</t>
        </is>
      </c>
      <c r="F170" s="856" t="n"/>
      <c r="G170" s="856" t="inlineStr">
        <is>
          <t>基礎数学ⅠA・ⅡB・C</t>
        </is>
      </c>
      <c r="H170" s="856" t="inlineStr">
        <is>
          <t>←</t>
        </is>
      </c>
      <c r="I170" s="856" t="inlineStr">
        <is>
          <t>←</t>
        </is>
      </c>
      <c r="J170" s="856" t="inlineStr">
        <is>
          <t>←</t>
        </is>
      </c>
      <c r="K170" s="856" t="inlineStr">
        <is>
          <t>←</t>
        </is>
      </c>
      <c r="L170" s="856" t="inlineStr">
        <is>
          <t>←</t>
        </is>
      </c>
      <c r="M170" s="856" t="inlineStr">
        <is>
          <t>←</t>
        </is>
      </c>
      <c r="N170" s="856" t="inlineStr">
        <is>
          <t>←</t>
        </is>
      </c>
      <c r="O170" s="856" t="inlineStr">
        <is>
          <t>夏期講習</t>
        </is>
      </c>
      <c r="P170" s="856" t="inlineStr">
        <is>
          <t>←</t>
        </is>
      </c>
      <c r="Q170" s="856" t="inlineStr">
        <is>
          <t>基礎数学ⅠA・ⅡB・C</t>
        </is>
      </c>
      <c r="R170" s="856" t="inlineStr">
        <is>
          <t>←</t>
        </is>
      </c>
      <c r="S170" s="856" t="inlineStr">
        <is>
          <t>←</t>
        </is>
      </c>
      <c r="T170" s="856" t="inlineStr">
        <is>
          <t>←</t>
        </is>
      </c>
      <c r="U170" s="856" t="inlineStr">
        <is>
          <t>直前講習</t>
        </is>
      </c>
      <c r="V170" s="856" t="inlineStr">
        <is>
          <t>←</t>
        </is>
      </c>
    </row>
    <row r="171">
      <c r="A171" s="857" t="inlineStr">
        <is>
          <t>私大文系|数学|基礎|回</t>
        </is>
      </c>
      <c r="B171" s="857" t="inlineStr">
        <is>
          <t>私大文系</t>
        </is>
      </c>
      <c r="C171" s="857" t="inlineStr">
        <is>
          <t>数学</t>
        </is>
      </c>
      <c r="D171" s="857" t="inlineStr">
        <is>
          <t>基礎</t>
        </is>
      </c>
      <c r="E171" s="857" t="inlineStr">
        <is>
          <t>回</t>
        </is>
      </c>
      <c r="F171" s="857" t="n"/>
      <c r="G171" s="857" t="inlineStr">
        <is>
          <t>練成1</t>
        </is>
      </c>
      <c r="H171" s="857" t="inlineStr">
        <is>
          <t>練成2</t>
        </is>
      </c>
      <c r="I171" s="857" t="inlineStr">
        <is>
          <t>練成3</t>
        </is>
      </c>
      <c r="J171" s="857" t="inlineStr">
        <is>
          <t>練成4</t>
        </is>
      </c>
      <c r="K171" s="857" t="inlineStr">
        <is>
          <t>練成5</t>
        </is>
      </c>
      <c r="L171" s="857" t="inlineStr">
        <is>
          <t>練成6</t>
        </is>
      </c>
      <c r="M171" s="857" t="inlineStr">
        <is>
          <t>練成7</t>
        </is>
      </c>
      <c r="N171" s="857" t="inlineStr">
        <is>
          <t>練成8</t>
        </is>
      </c>
      <c r="O171" s="857" t="inlineStr">
        <is>
          <t>夏期1</t>
        </is>
      </c>
      <c r="P171" s="857" t="inlineStr">
        <is>
          <t>夏期2</t>
        </is>
      </c>
      <c r="Q171" s="857" t="inlineStr">
        <is>
          <t>実戦1</t>
        </is>
      </c>
      <c r="R171" s="857" t="inlineStr">
        <is>
          <t>実戦2</t>
        </is>
      </c>
      <c r="S171" s="857" t="inlineStr">
        <is>
          <t>実戦3</t>
        </is>
      </c>
      <c r="T171" s="857" t="inlineStr">
        <is>
          <t>実戦4</t>
        </is>
      </c>
      <c r="U171" s="857" t="inlineStr">
        <is>
          <t>直前1</t>
        </is>
      </c>
      <c r="V171" s="857" t="inlineStr">
        <is>
          <t>※</t>
        </is>
      </c>
    </row>
    <row r="172">
      <c r="A172" s="857" t="inlineStr">
        <is>
          <t>私大文系|数学|基礎|塾</t>
        </is>
      </c>
      <c r="B172" s="857" t="inlineStr">
        <is>
          <t>私大文系</t>
        </is>
      </c>
      <c r="C172" s="857" t="inlineStr">
        <is>
          <t>数学</t>
        </is>
      </c>
      <c r="D172" s="857" t="inlineStr">
        <is>
          <t>基礎</t>
        </is>
      </c>
      <c r="E172" s="857" t="inlineStr">
        <is>
          <t>塾</t>
        </is>
      </c>
      <c r="F172" s="857" t="inlineStr">
        <is>
          <t>【塾】白チャート ⅠA・ⅡBC（例題中心）</t>
        </is>
      </c>
      <c r="G172" s="857" t="inlineStr">
        <is>
          <t>←</t>
        </is>
      </c>
      <c r="H172" s="857" t="inlineStr">
        <is>
          <t>←</t>
        </is>
      </c>
      <c r="I172" s="857" t="inlineStr">
        <is>
          <t>←</t>
        </is>
      </c>
      <c r="J172" s="857" t="inlineStr">
        <is>
          <t>←</t>
        </is>
      </c>
      <c r="K172" s="857" t="inlineStr">
        <is>
          <t>←</t>
        </is>
      </c>
      <c r="L172" s="857" t="inlineStr">
        <is>
          <t>←</t>
        </is>
      </c>
      <c r="M172" s="857" t="inlineStr">
        <is>
          <t>←</t>
        </is>
      </c>
      <c r="N172" s="857" t="inlineStr">
        <is>
          <t>←</t>
        </is>
      </c>
      <c r="O172" s="857" t="inlineStr">
        <is>
          <t>←</t>
        </is>
      </c>
      <c r="P172" s="857" t="inlineStr">
        <is>
          <t>←</t>
        </is>
      </c>
      <c r="Q172" s="857" t="inlineStr">
        <is>
          <t>【塾】黄チャート（重要例題）</t>
        </is>
      </c>
      <c r="R172" s="857" t="inlineStr">
        <is>
          <t>←</t>
        </is>
      </c>
      <c r="S172" s="857" t="inlineStr">
        <is>
          <t>←</t>
        </is>
      </c>
      <c r="T172" s="857" t="inlineStr">
        <is>
          <t>←</t>
        </is>
      </c>
      <c r="U172" s="857" t="inlineStr">
        <is>
          <t>【塾】{志望校}過去問</t>
        </is>
      </c>
      <c r="V172" s="857" t="inlineStr">
        <is>
          <t>←</t>
        </is>
      </c>
    </row>
    <row r="173">
      <c r="A173" s="857" t="inlineStr">
        <is>
          <t>私大文系|数学|基礎|家</t>
        </is>
      </c>
      <c r="B173" s="857" t="inlineStr">
        <is>
          <t>私大文系</t>
        </is>
      </c>
      <c r="C173" s="857" t="inlineStr">
        <is>
          <t>数学</t>
        </is>
      </c>
      <c r="D173" s="857" t="inlineStr">
        <is>
          <t>基礎</t>
        </is>
      </c>
      <c r="E173" s="857" t="inlineStr">
        <is>
          <t>家</t>
        </is>
      </c>
      <c r="F173" s="857" t="inlineStr">
        <is>
          <t>【家】白チャートの例題反復（1冊5周）</t>
        </is>
      </c>
      <c r="G173" s="857" t="inlineStr">
        <is>
          <t>←</t>
        </is>
      </c>
      <c r="H173" s="857" t="inlineStr">
        <is>
          <t>←</t>
        </is>
      </c>
      <c r="I173" s="857" t="inlineStr">
        <is>
          <t>←</t>
        </is>
      </c>
      <c r="J173" s="857" t="inlineStr">
        <is>
          <t>←</t>
        </is>
      </c>
      <c r="K173" s="857" t="inlineStr">
        <is>
          <t>←</t>
        </is>
      </c>
      <c r="L173" s="857" t="inlineStr">
        <is>
          <t>←</t>
        </is>
      </c>
      <c r="M173" s="857" t="inlineStr">
        <is>
          <t>←</t>
        </is>
      </c>
      <c r="N173" s="857" t="inlineStr">
        <is>
          <t>←</t>
        </is>
      </c>
      <c r="O173" s="857" t="inlineStr">
        <is>
          <t>←</t>
        </is>
      </c>
      <c r="P173" s="857" t="inlineStr">
        <is>
          <t>←</t>
        </is>
      </c>
      <c r="Q173" s="857" t="inlineStr">
        <is>
          <t>【家】数学の問題集で演習</t>
        </is>
      </c>
      <c r="R173" s="857" t="inlineStr">
        <is>
          <t>←</t>
        </is>
      </c>
      <c r="S173" s="857" t="inlineStr">
        <is>
          <t>←</t>
        </is>
      </c>
      <c r="T173" s="857" t="inlineStr">
        <is>
          <t>←</t>
        </is>
      </c>
      <c r="U173" s="857" t="inlineStr">
        <is>
          <t>【家】{志望校}過去問</t>
        </is>
      </c>
      <c r="V173" s="857" t="inlineStr">
        <is>
          <t>←</t>
        </is>
      </c>
    </row>
    <row r="174">
      <c r="A174" s="856" t="inlineStr">
        <is>
          <t>私大文系|数学|標準|講座</t>
        </is>
      </c>
      <c r="B174" s="856" t="inlineStr">
        <is>
          <t>私大文系</t>
        </is>
      </c>
      <c r="C174" s="856" t="inlineStr">
        <is>
          <t>数学</t>
        </is>
      </c>
      <c r="D174" s="856" t="inlineStr">
        <is>
          <t>標準</t>
        </is>
      </c>
      <c r="E174" s="856" t="inlineStr">
        <is>
          <t>講座</t>
        </is>
      </c>
      <c r="F174" s="856" t="n"/>
      <c r="G174" s="856" t="inlineStr">
        <is>
          <t>標準数学ⅠA・ⅡB・C</t>
        </is>
      </c>
      <c r="H174" s="856" t="inlineStr">
        <is>
          <t>←</t>
        </is>
      </c>
      <c r="I174" s="856" t="inlineStr">
        <is>
          <t>←</t>
        </is>
      </c>
      <c r="J174" s="856" t="inlineStr">
        <is>
          <t>←</t>
        </is>
      </c>
      <c r="K174" s="856" t="inlineStr">
        <is>
          <t>←</t>
        </is>
      </c>
      <c r="L174" s="856" t="inlineStr">
        <is>
          <t>←</t>
        </is>
      </c>
      <c r="M174" s="856" t="inlineStr">
        <is>
          <t>←</t>
        </is>
      </c>
      <c r="N174" s="856" t="inlineStr">
        <is>
          <t>←</t>
        </is>
      </c>
      <c r="O174" s="856" t="inlineStr">
        <is>
          <t>夏期講習</t>
        </is>
      </c>
      <c r="P174" s="856" t="inlineStr">
        <is>
          <t>←</t>
        </is>
      </c>
      <c r="Q174" s="856" t="inlineStr">
        <is>
          <t>標準数学ⅠA・ⅡB・C</t>
        </is>
      </c>
      <c r="R174" s="856" t="inlineStr">
        <is>
          <t>←</t>
        </is>
      </c>
      <c r="S174" s="856" t="inlineStr">
        <is>
          <t>←</t>
        </is>
      </c>
      <c r="T174" s="856" t="inlineStr">
        <is>
          <t>←</t>
        </is>
      </c>
      <c r="U174" s="856" t="inlineStr">
        <is>
          <t>直前講習</t>
        </is>
      </c>
      <c r="V174" s="856" t="inlineStr">
        <is>
          <t>←</t>
        </is>
      </c>
    </row>
    <row r="175">
      <c r="A175" s="857" t="inlineStr">
        <is>
          <t>私大文系|数学|標準|回</t>
        </is>
      </c>
      <c r="B175" s="857" t="inlineStr">
        <is>
          <t>私大文系</t>
        </is>
      </c>
      <c r="C175" s="857" t="inlineStr">
        <is>
          <t>数学</t>
        </is>
      </c>
      <c r="D175" s="857" t="inlineStr">
        <is>
          <t>標準</t>
        </is>
      </c>
      <c r="E175" s="857" t="inlineStr">
        <is>
          <t>回</t>
        </is>
      </c>
      <c r="F175" s="857" t="n"/>
      <c r="G175" s="857" t="inlineStr">
        <is>
          <t>練成1</t>
        </is>
      </c>
      <c r="H175" s="857" t="inlineStr">
        <is>
          <t>練成2</t>
        </is>
      </c>
      <c r="I175" s="857" t="inlineStr">
        <is>
          <t>練成3</t>
        </is>
      </c>
      <c r="J175" s="857" t="inlineStr">
        <is>
          <t>練成4</t>
        </is>
      </c>
      <c r="K175" s="857" t="inlineStr">
        <is>
          <t>練成5</t>
        </is>
      </c>
      <c r="L175" s="857" t="inlineStr">
        <is>
          <t>練成6</t>
        </is>
      </c>
      <c r="M175" s="857" t="inlineStr">
        <is>
          <t>練成7</t>
        </is>
      </c>
      <c r="N175" s="857" t="inlineStr">
        <is>
          <t>練成8</t>
        </is>
      </c>
      <c r="O175" s="857" t="inlineStr">
        <is>
          <t>夏期1</t>
        </is>
      </c>
      <c r="P175" s="857" t="inlineStr">
        <is>
          <t>夏期2</t>
        </is>
      </c>
      <c r="Q175" s="857" t="inlineStr">
        <is>
          <t>実戦1</t>
        </is>
      </c>
      <c r="R175" s="857" t="inlineStr">
        <is>
          <t>実戦2</t>
        </is>
      </c>
      <c r="S175" s="857" t="inlineStr">
        <is>
          <t>実戦3</t>
        </is>
      </c>
      <c r="T175" s="857" t="inlineStr">
        <is>
          <t>実戦4</t>
        </is>
      </c>
      <c r="U175" s="857" t="inlineStr">
        <is>
          <t>直前1</t>
        </is>
      </c>
      <c r="V175" s="857" t="inlineStr">
        <is>
          <t>※</t>
        </is>
      </c>
    </row>
    <row r="176">
      <c r="A176" s="857" t="inlineStr">
        <is>
          <t>私大文系|数学|標準|塾</t>
        </is>
      </c>
      <c r="B176" s="857" t="inlineStr">
        <is>
          <t>私大文系</t>
        </is>
      </c>
      <c r="C176" s="857" t="inlineStr">
        <is>
          <t>数学</t>
        </is>
      </c>
      <c r="D176" s="857" t="inlineStr">
        <is>
          <t>標準</t>
        </is>
      </c>
      <c r="E176" s="857" t="inlineStr">
        <is>
          <t>塾</t>
        </is>
      </c>
      <c r="F176" s="857" t="inlineStr">
        <is>
          <t>【塾】黄チャート ⅠA・ⅡBC（重要例題）</t>
        </is>
      </c>
      <c r="G176" s="857" t="inlineStr">
        <is>
          <t>←</t>
        </is>
      </c>
      <c r="H176" s="857" t="inlineStr">
        <is>
          <t>←</t>
        </is>
      </c>
      <c r="I176" s="857" t="inlineStr">
        <is>
          <t>←</t>
        </is>
      </c>
      <c r="J176" s="857" t="inlineStr">
        <is>
          <t>←</t>
        </is>
      </c>
      <c r="K176" s="857" t="inlineStr">
        <is>
          <t>←</t>
        </is>
      </c>
      <c r="L176" s="857" t="inlineStr">
        <is>
          <t>←</t>
        </is>
      </c>
      <c r="M176" s="857" t="inlineStr">
        <is>
          <t>←</t>
        </is>
      </c>
      <c r="N176" s="857" t="inlineStr">
        <is>
          <t>←</t>
        </is>
      </c>
      <c r="O176" s="857" t="inlineStr">
        <is>
          <t>←</t>
        </is>
      </c>
      <c r="P176" s="857" t="inlineStr">
        <is>
          <t>←</t>
        </is>
      </c>
      <c r="Q176" s="857" t="inlineStr">
        <is>
          <t>【塾】文系数学 入試の核心 標準編</t>
        </is>
      </c>
      <c r="R176" s="857" t="inlineStr">
        <is>
          <t>←</t>
        </is>
      </c>
      <c r="S176" s="857" t="inlineStr">
        <is>
          <t>←</t>
        </is>
      </c>
      <c r="T176" s="857" t="inlineStr">
        <is>
          <t>←</t>
        </is>
      </c>
      <c r="U176" s="857" t="inlineStr">
        <is>
          <t>【塾】{志望校}過去問</t>
        </is>
      </c>
      <c r="V176" s="857" t="inlineStr">
        <is>
          <t>←</t>
        </is>
      </c>
    </row>
    <row r="177">
      <c r="A177" s="857" t="inlineStr">
        <is>
          <t>私大文系|数学|標準|家</t>
        </is>
      </c>
      <c r="B177" s="857" t="inlineStr">
        <is>
          <t>私大文系</t>
        </is>
      </c>
      <c r="C177" s="857" t="inlineStr">
        <is>
          <t>数学</t>
        </is>
      </c>
      <c r="D177" s="857" t="inlineStr">
        <is>
          <t>標準</t>
        </is>
      </c>
      <c r="E177" s="857" t="inlineStr">
        <is>
          <t>家</t>
        </is>
      </c>
      <c r="F177" s="857" t="inlineStr">
        <is>
          <t>【家】入試数学の基礎問題精講 ⅠA・ⅡBC（1冊10周）</t>
        </is>
      </c>
      <c r="G177" s="857" t="inlineStr">
        <is>
          <t>←</t>
        </is>
      </c>
      <c r="H177" s="857" t="inlineStr">
        <is>
          <t>←</t>
        </is>
      </c>
      <c r="I177" s="857" t="inlineStr">
        <is>
          <t>←</t>
        </is>
      </c>
      <c r="J177" s="857" t="inlineStr">
        <is>
          <t>←</t>
        </is>
      </c>
      <c r="K177" s="857" t="inlineStr">
        <is>
          <t>←</t>
        </is>
      </c>
      <c r="L177" s="857" t="inlineStr">
        <is>
          <t>←</t>
        </is>
      </c>
      <c r="M177" s="857" t="inlineStr">
        <is>
          <t>←</t>
        </is>
      </c>
      <c r="N177" s="857" t="inlineStr">
        <is>
          <t>←</t>
        </is>
      </c>
      <c r="O177" s="857" t="inlineStr">
        <is>
          <t>←</t>
        </is>
      </c>
      <c r="P177" s="857" t="inlineStr">
        <is>
          <t>←</t>
        </is>
      </c>
      <c r="Q177" s="857" t="inlineStr">
        <is>
          <t>【家】基礎問題精講の反復</t>
        </is>
      </c>
      <c r="R177" s="857" t="inlineStr">
        <is>
          <t>←</t>
        </is>
      </c>
      <c r="S177" s="857" t="inlineStr">
        <is>
          <t>←</t>
        </is>
      </c>
      <c r="T177" s="857" t="inlineStr">
        <is>
          <t>←</t>
        </is>
      </c>
      <c r="U177" s="857" t="inlineStr">
        <is>
          <t>【家】{志望校}過去問</t>
        </is>
      </c>
      <c r="V177" s="857" t="inlineStr">
        <is>
          <t>←</t>
        </is>
      </c>
    </row>
    <row r="178">
      <c r="A178" s="856" t="inlineStr">
        <is>
          <t>私大文系|数学|難関|講座</t>
        </is>
      </c>
      <c r="B178" s="856" t="inlineStr">
        <is>
          <t>私大文系</t>
        </is>
      </c>
      <c r="C178" s="856" t="inlineStr">
        <is>
          <t>数学</t>
        </is>
      </c>
      <c r="D178" s="856" t="inlineStr">
        <is>
          <t>難関</t>
        </is>
      </c>
      <c r="E178" s="856" t="inlineStr">
        <is>
          <t>講座</t>
        </is>
      </c>
      <c r="F178" s="856" t="n"/>
      <c r="G178" s="856" t="inlineStr">
        <is>
          <t>3NN　難関大数学ⅠA・ⅡB・C</t>
        </is>
      </c>
      <c r="H178" s="856" t="inlineStr">
        <is>
          <t>←</t>
        </is>
      </c>
      <c r="I178" s="856" t="inlineStr">
        <is>
          <t>←</t>
        </is>
      </c>
      <c r="J178" s="856" t="inlineStr">
        <is>
          <t>←</t>
        </is>
      </c>
      <c r="K178" s="856" t="inlineStr">
        <is>
          <t>←</t>
        </is>
      </c>
      <c r="L178" s="856" t="inlineStr">
        <is>
          <t>←</t>
        </is>
      </c>
      <c r="M178" s="856" t="inlineStr">
        <is>
          <t>←</t>
        </is>
      </c>
      <c r="N178" s="856" t="inlineStr">
        <is>
          <t>←</t>
        </is>
      </c>
      <c r="O178" s="856" t="inlineStr">
        <is>
          <t>N3NN</t>
        </is>
      </c>
      <c r="P178" s="856" t="inlineStr">
        <is>
          <t>←</t>
        </is>
      </c>
      <c r="Q178" s="856" t="inlineStr">
        <is>
          <t>3NN　難関大数学ⅠA・ⅡB・C</t>
        </is>
      </c>
      <c r="R178" s="856" t="inlineStr">
        <is>
          <t>←</t>
        </is>
      </c>
      <c r="S178" s="856" t="inlineStr">
        <is>
          <t>←</t>
        </is>
      </c>
      <c r="T178" s="856" t="inlineStr">
        <is>
          <t>←</t>
        </is>
      </c>
      <c r="U178" s="856" t="inlineStr">
        <is>
          <t>F3NN</t>
        </is>
      </c>
      <c r="V178" s="856" t="inlineStr">
        <is>
          <t>←</t>
        </is>
      </c>
    </row>
    <row r="179">
      <c r="A179" s="857" t="inlineStr">
        <is>
          <t>私大文系|数学|難関|回</t>
        </is>
      </c>
      <c r="B179" s="857" t="inlineStr">
        <is>
          <t>私大文系</t>
        </is>
      </c>
      <c r="C179" s="857" t="inlineStr">
        <is>
          <t>数学</t>
        </is>
      </c>
      <c r="D179" s="857" t="inlineStr">
        <is>
          <t>難関</t>
        </is>
      </c>
      <c r="E179" s="857" t="inlineStr">
        <is>
          <t>回</t>
        </is>
      </c>
      <c r="F179" s="857" t="n"/>
      <c r="G179" s="857" t="inlineStr">
        <is>
          <t>練成1</t>
        </is>
      </c>
      <c r="H179" s="857" t="inlineStr">
        <is>
          <t>練成2</t>
        </is>
      </c>
      <c r="I179" s="857" t="inlineStr">
        <is>
          <t>練成3・4</t>
        </is>
      </c>
      <c r="J179" s="857" t="inlineStr">
        <is>
          <t>練成5</t>
        </is>
      </c>
      <c r="K179" s="857" t="inlineStr">
        <is>
          <t>練成6</t>
        </is>
      </c>
      <c r="L179" s="857" t="inlineStr">
        <is>
          <t>練成7</t>
        </is>
      </c>
      <c r="M179" s="857" t="inlineStr">
        <is>
          <t>練成8</t>
        </is>
      </c>
      <c r="N179" s="857" t="inlineStr">
        <is>
          <t>練成9・10</t>
        </is>
      </c>
      <c r="O179" s="857" t="inlineStr">
        <is>
          <t>夏期1</t>
        </is>
      </c>
      <c r="P179" s="857" t="inlineStr">
        <is>
          <t>夏期2</t>
        </is>
      </c>
      <c r="Q179" s="857" t="inlineStr">
        <is>
          <t>実戦1</t>
        </is>
      </c>
      <c r="R179" s="857" t="inlineStr">
        <is>
          <t>実戦2</t>
        </is>
      </c>
      <c r="S179" s="857" t="inlineStr">
        <is>
          <t>実戦3</t>
        </is>
      </c>
      <c r="T179" s="857" t="inlineStr">
        <is>
          <t>実戦4</t>
        </is>
      </c>
      <c r="U179" s="857" t="inlineStr">
        <is>
          <t>直前1</t>
        </is>
      </c>
      <c r="V179" s="857" t="inlineStr">
        <is>
          <t>直前2</t>
        </is>
      </c>
    </row>
    <row r="180">
      <c r="A180" s="857" t="inlineStr">
        <is>
          <t>私大文系|数学|難関|塾</t>
        </is>
      </c>
      <c r="B180" s="857" t="inlineStr">
        <is>
          <t>私大文系</t>
        </is>
      </c>
      <c r="C180" s="857" t="inlineStr">
        <is>
          <t>数学</t>
        </is>
      </c>
      <c r="D180" s="857" t="inlineStr">
        <is>
          <t>難関</t>
        </is>
      </c>
      <c r="E180" s="857" t="inlineStr">
        <is>
          <t>塾</t>
        </is>
      </c>
      <c r="F180" s="857" t="inlineStr">
        <is>
          <t>【塾】青チャート ⅠA・ⅡBC（例題★3まで）</t>
        </is>
      </c>
      <c r="G180" s="857" t="inlineStr">
        <is>
          <t>←</t>
        </is>
      </c>
      <c r="H180" s="857" t="inlineStr">
        <is>
          <t>←</t>
        </is>
      </c>
      <c r="I180" s="857" t="inlineStr">
        <is>
          <t>←</t>
        </is>
      </c>
      <c r="J180" s="857" t="inlineStr">
        <is>
          <t>←</t>
        </is>
      </c>
      <c r="K180" s="857" t="inlineStr">
        <is>
          <t>←</t>
        </is>
      </c>
      <c r="L180" s="857" t="inlineStr">
        <is>
          <t>←</t>
        </is>
      </c>
      <c r="M180" s="857" t="inlineStr">
        <is>
          <t>←</t>
        </is>
      </c>
      <c r="N180" s="857" t="inlineStr">
        <is>
          <t>←</t>
        </is>
      </c>
      <c r="O180" s="857" t="inlineStr">
        <is>
          <t>【塾】青チャート総復習</t>
        </is>
      </c>
      <c r="P180" s="857" t="inlineStr">
        <is>
          <t>←</t>
        </is>
      </c>
      <c r="Q180" s="857" t="inlineStr">
        <is>
          <t>【塾】文系数学の良問プラチカ</t>
        </is>
      </c>
      <c r="R180" s="857" t="inlineStr">
        <is>
          <t>←</t>
        </is>
      </c>
      <c r="S180" s="857" t="inlineStr">
        <is>
          <t>←</t>
        </is>
      </c>
      <c r="T180" s="857" t="inlineStr">
        <is>
          <t>←</t>
        </is>
      </c>
      <c r="U180" s="857" t="inlineStr">
        <is>
          <t>【塾】{志望校}過去問</t>
        </is>
      </c>
      <c r="V180" s="857" t="inlineStr">
        <is>
          <t>←</t>
        </is>
      </c>
    </row>
    <row r="181">
      <c r="A181" s="857" t="inlineStr">
        <is>
          <t>私大文系|数学|難関|家</t>
        </is>
      </c>
      <c r="B181" s="857" t="inlineStr">
        <is>
          <t>私大文系</t>
        </is>
      </c>
      <c r="C181" s="857" t="inlineStr">
        <is>
          <t>数学</t>
        </is>
      </c>
      <c r="D181" s="857" t="inlineStr">
        <is>
          <t>難関</t>
        </is>
      </c>
      <c r="E181" s="857" t="inlineStr">
        <is>
          <t>家</t>
        </is>
      </c>
      <c r="F181" s="857" t="inlineStr">
        <is>
          <t>【家】入試数学の基礎問題精講 ⅠA・ⅡBC（1冊10周）</t>
        </is>
      </c>
      <c r="G181" s="857" t="inlineStr">
        <is>
          <t>←</t>
        </is>
      </c>
      <c r="H181" s="857" t="inlineStr">
        <is>
          <t>←</t>
        </is>
      </c>
      <c r="I181" s="857" t="inlineStr">
        <is>
          <t>←</t>
        </is>
      </c>
      <c r="J181" s="857" t="inlineStr">
        <is>
          <t>←</t>
        </is>
      </c>
      <c r="K181" s="857" t="inlineStr">
        <is>
          <t>←</t>
        </is>
      </c>
      <c r="L181" s="857" t="inlineStr">
        <is>
          <t>←</t>
        </is>
      </c>
      <c r="M181" s="857" t="inlineStr">
        <is>
          <t>←</t>
        </is>
      </c>
      <c r="N181" s="857" t="inlineStr">
        <is>
          <t>←</t>
        </is>
      </c>
      <c r="O181" s="857" t="inlineStr">
        <is>
          <t>←</t>
        </is>
      </c>
      <c r="P181" s="857" t="inlineStr">
        <is>
          <t>←</t>
        </is>
      </c>
      <c r="Q181" s="857" t="inlineStr">
        <is>
          <t>【家】基礎問題精講の反復</t>
        </is>
      </c>
      <c r="R181" s="857" t="inlineStr">
        <is>
          <t>←</t>
        </is>
      </c>
      <c r="S181" s="857" t="inlineStr">
        <is>
          <t>←</t>
        </is>
      </c>
      <c r="T181" s="857" t="inlineStr">
        <is>
          <t>←</t>
        </is>
      </c>
      <c r="U181" s="857" t="inlineStr">
        <is>
          <t>【家】{志望校}過去問</t>
        </is>
      </c>
      <c r="V181" s="857" t="inlineStr">
        <is>
          <t>←</t>
        </is>
      </c>
    </row>
    <row r="182">
      <c r="A182" s="856" t="inlineStr">
        <is>
          <t>私大文系|現代文|基礎|講座</t>
        </is>
      </c>
      <c r="B182" s="856" t="inlineStr">
        <is>
          <t>私大文系</t>
        </is>
      </c>
      <c r="C182" s="856" t="inlineStr">
        <is>
          <t>現代文</t>
        </is>
      </c>
      <c r="D182" s="856" t="inlineStr">
        <is>
          <t>基礎</t>
        </is>
      </c>
      <c r="E182" s="856" t="inlineStr">
        <is>
          <t>講座</t>
        </is>
      </c>
      <c r="F182" s="856" t="n"/>
      <c r="G182" s="856" t="inlineStr">
        <is>
          <t>基礎現代文</t>
        </is>
      </c>
      <c r="H182" s="856" t="inlineStr">
        <is>
          <t>←</t>
        </is>
      </c>
      <c r="I182" s="856" t="inlineStr">
        <is>
          <t>←</t>
        </is>
      </c>
      <c r="J182" s="856" t="inlineStr">
        <is>
          <t>←</t>
        </is>
      </c>
      <c r="K182" s="856" t="inlineStr">
        <is>
          <t>←</t>
        </is>
      </c>
      <c r="L182" s="856" t="inlineStr">
        <is>
          <t>←</t>
        </is>
      </c>
      <c r="M182" s="856" t="inlineStr">
        <is>
          <t>←</t>
        </is>
      </c>
      <c r="N182" s="856" t="inlineStr">
        <is>
          <t>←</t>
        </is>
      </c>
      <c r="O182" s="856" t="inlineStr">
        <is>
          <t>夏期講習</t>
        </is>
      </c>
      <c r="P182" s="856" t="inlineStr">
        <is>
          <t>←</t>
        </is>
      </c>
      <c r="Q182" s="856" t="inlineStr">
        <is>
          <t>基礎現代文</t>
        </is>
      </c>
      <c r="R182" s="856" t="inlineStr">
        <is>
          <t>←</t>
        </is>
      </c>
      <c r="S182" s="856" t="inlineStr">
        <is>
          <t>←</t>
        </is>
      </c>
      <c r="T182" s="856" t="inlineStr">
        <is>
          <t>←</t>
        </is>
      </c>
      <c r="U182" s="856" t="inlineStr">
        <is>
          <t>直前講習</t>
        </is>
      </c>
      <c r="V182" s="856" t="inlineStr">
        <is>
          <t>←</t>
        </is>
      </c>
    </row>
    <row r="183">
      <c r="A183" s="857" t="inlineStr">
        <is>
          <t>私大文系|現代文|基礎|回</t>
        </is>
      </c>
      <c r="B183" s="857" t="inlineStr">
        <is>
          <t>私大文系</t>
        </is>
      </c>
      <c r="C183" s="857" t="inlineStr">
        <is>
          <t>現代文</t>
        </is>
      </c>
      <c r="D183" s="857" t="inlineStr">
        <is>
          <t>基礎</t>
        </is>
      </c>
      <c r="E183" s="857" t="inlineStr">
        <is>
          <t>回</t>
        </is>
      </c>
      <c r="F183" s="857" t="n"/>
      <c r="G183" s="857" t="inlineStr">
        <is>
          <t>練成1</t>
        </is>
      </c>
      <c r="H183" s="857" t="inlineStr">
        <is>
          <t>練成2</t>
        </is>
      </c>
      <c r="I183" s="857" t="inlineStr">
        <is>
          <t>※</t>
        </is>
      </c>
      <c r="J183" s="857" t="inlineStr">
        <is>
          <t>※</t>
        </is>
      </c>
      <c r="K183" s="857" t="inlineStr">
        <is>
          <t>※</t>
        </is>
      </c>
      <c r="L183" s="857" t="inlineStr">
        <is>
          <t>※</t>
        </is>
      </c>
      <c r="M183" s="857" t="inlineStr">
        <is>
          <t>※</t>
        </is>
      </c>
      <c r="N183" s="857" t="inlineStr">
        <is>
          <t>※</t>
        </is>
      </c>
      <c r="O183" s="857" t="inlineStr">
        <is>
          <t>夏期1</t>
        </is>
      </c>
      <c r="P183" s="857" t="inlineStr">
        <is>
          <t>※</t>
        </is>
      </c>
      <c r="Q183" s="857" t="inlineStr">
        <is>
          <t>実戦1</t>
        </is>
      </c>
      <c r="R183" s="857" t="inlineStr">
        <is>
          <t>実戦2</t>
        </is>
      </c>
      <c r="S183" s="857" t="inlineStr">
        <is>
          <t>※</t>
        </is>
      </c>
      <c r="T183" s="857" t="inlineStr">
        <is>
          <t>※</t>
        </is>
      </c>
      <c r="U183" s="857" t="inlineStr">
        <is>
          <t>直前1</t>
        </is>
      </c>
      <c r="V183" s="857" t="inlineStr">
        <is>
          <t>※</t>
        </is>
      </c>
    </row>
    <row r="184">
      <c r="A184" s="857" t="inlineStr">
        <is>
          <t>私大文系|現代文|基礎|塾</t>
        </is>
      </c>
      <c r="B184" s="857" t="inlineStr">
        <is>
          <t>私大文系</t>
        </is>
      </c>
      <c r="C184" s="857" t="inlineStr">
        <is>
          <t>現代文</t>
        </is>
      </c>
      <c r="D184" s="857" t="inlineStr">
        <is>
          <t>基礎</t>
        </is>
      </c>
      <c r="E184" s="857" t="inlineStr">
        <is>
          <t>塾</t>
        </is>
      </c>
      <c r="F184" s="857" t="inlineStr">
        <is>
          <t>【塾】高2範囲の総復習・診断</t>
        </is>
      </c>
      <c r="G184" s="857" t="n"/>
      <c r="H184" s="857" t="n"/>
      <c r="I184" s="857" t="n"/>
      <c r="J184" s="857" t="inlineStr">
        <is>
          <t>【塾】入試現代文へのアクセス 基本編</t>
        </is>
      </c>
      <c r="K184" s="857" t="inlineStr">
        <is>
          <t>←</t>
        </is>
      </c>
      <c r="L184" s="857" t="inlineStr">
        <is>
          <t>←</t>
        </is>
      </c>
      <c r="M184" s="857" t="inlineStr">
        <is>
          <t>←</t>
        </is>
      </c>
      <c r="N184" s="857" t="inlineStr">
        <is>
          <t>←</t>
        </is>
      </c>
      <c r="O184" s="857" t="inlineStr">
        <is>
          <t>←</t>
        </is>
      </c>
      <c r="P184" s="857" t="inlineStr">
        <is>
          <t>←</t>
        </is>
      </c>
      <c r="Q184" s="857" t="inlineStr">
        <is>
          <t>【塾】入試現代文へのアクセス 発展編</t>
        </is>
      </c>
      <c r="R184" s="857" t="inlineStr">
        <is>
          <t>←</t>
        </is>
      </c>
      <c r="S184" s="857" t="inlineStr">
        <is>
          <t>←</t>
        </is>
      </c>
      <c r="T184" s="857" t="inlineStr">
        <is>
          <t>←</t>
        </is>
      </c>
      <c r="U184" s="857" t="inlineStr">
        <is>
          <t>【塾】{志望校}過去問</t>
        </is>
      </c>
      <c r="V184" s="857" t="inlineStr">
        <is>
          <t>←</t>
        </is>
      </c>
    </row>
    <row r="185">
      <c r="A185" s="857" t="inlineStr">
        <is>
          <t>私大文系|現代文|基礎|家</t>
        </is>
      </c>
      <c r="B185" s="857" t="inlineStr">
        <is>
          <t>私大文系</t>
        </is>
      </c>
      <c r="C185" s="857" t="inlineStr">
        <is>
          <t>現代文</t>
        </is>
      </c>
      <c r="D185" s="857" t="inlineStr">
        <is>
          <t>基礎</t>
        </is>
      </c>
      <c r="E185" s="857" t="inlineStr">
        <is>
          <t>家</t>
        </is>
      </c>
      <c r="F185" s="857" t="inlineStr">
        <is>
          <t>【家】現代文キーワード読解（毎週）</t>
        </is>
      </c>
      <c r="G185" s="857" t="inlineStr">
        <is>
          <t>←</t>
        </is>
      </c>
      <c r="H185" s="857" t="inlineStr">
        <is>
          <t>←</t>
        </is>
      </c>
      <c r="I185" s="857" t="inlineStr">
        <is>
          <t>←</t>
        </is>
      </c>
      <c r="J185" s="857" t="inlineStr">
        <is>
          <t>←</t>
        </is>
      </c>
      <c r="K185" s="857" t="inlineStr">
        <is>
          <t>←</t>
        </is>
      </c>
      <c r="L185" s="857" t="inlineStr">
        <is>
          <t>←</t>
        </is>
      </c>
      <c r="M185" s="857" t="inlineStr">
        <is>
          <t>←</t>
        </is>
      </c>
      <c r="N185" s="857" t="inlineStr">
        <is>
          <t>←</t>
        </is>
      </c>
      <c r="O185" s="857" t="inlineStr">
        <is>
          <t>←</t>
        </is>
      </c>
      <c r="P185" s="857" t="inlineStr">
        <is>
          <t>←</t>
        </is>
      </c>
      <c r="Q185" s="857" t="inlineStr">
        <is>
          <t>【家】現代文の問題集で演習</t>
        </is>
      </c>
      <c r="R185" s="857" t="inlineStr">
        <is>
          <t>←</t>
        </is>
      </c>
      <c r="S185" s="857" t="inlineStr">
        <is>
          <t>←</t>
        </is>
      </c>
      <c r="T185" s="857" t="inlineStr">
        <is>
          <t>←</t>
        </is>
      </c>
      <c r="U185" s="857" t="inlineStr">
        <is>
          <t>【家】{志望校}過去問</t>
        </is>
      </c>
      <c r="V185" s="857" t="inlineStr">
        <is>
          <t>←</t>
        </is>
      </c>
    </row>
    <row r="186">
      <c r="A186" s="856" t="inlineStr">
        <is>
          <t>私大文系|現代文|標準|講座</t>
        </is>
      </c>
      <c r="B186" s="856" t="inlineStr">
        <is>
          <t>私大文系</t>
        </is>
      </c>
      <c r="C186" s="856" t="inlineStr">
        <is>
          <t>現代文</t>
        </is>
      </c>
      <c r="D186" s="856" t="inlineStr">
        <is>
          <t>標準</t>
        </is>
      </c>
      <c r="E186" s="856" t="inlineStr">
        <is>
          <t>講座</t>
        </is>
      </c>
      <c r="F186" s="856" t="n"/>
      <c r="G186" s="856" t="inlineStr">
        <is>
          <t>標準現代文</t>
        </is>
      </c>
      <c r="H186" s="856" t="inlineStr">
        <is>
          <t>←</t>
        </is>
      </c>
      <c r="I186" s="856" t="inlineStr">
        <is>
          <t>←</t>
        </is>
      </c>
      <c r="J186" s="856" t="inlineStr">
        <is>
          <t>←</t>
        </is>
      </c>
      <c r="K186" s="856" t="inlineStr">
        <is>
          <t>←</t>
        </is>
      </c>
      <c r="L186" s="856" t="inlineStr">
        <is>
          <t>←</t>
        </is>
      </c>
      <c r="M186" s="856" t="inlineStr">
        <is>
          <t>←</t>
        </is>
      </c>
      <c r="N186" s="856" t="inlineStr">
        <is>
          <t>←</t>
        </is>
      </c>
      <c r="O186" s="856" t="inlineStr">
        <is>
          <t>夏期講習</t>
        </is>
      </c>
      <c r="P186" s="856" t="inlineStr">
        <is>
          <t>←</t>
        </is>
      </c>
      <c r="Q186" s="856" t="inlineStr">
        <is>
          <t>標準現代文</t>
        </is>
      </c>
      <c r="R186" s="856" t="inlineStr">
        <is>
          <t>←</t>
        </is>
      </c>
      <c r="S186" s="856" t="inlineStr">
        <is>
          <t>←</t>
        </is>
      </c>
      <c r="T186" s="856" t="inlineStr">
        <is>
          <t>←</t>
        </is>
      </c>
      <c r="U186" s="856" t="inlineStr">
        <is>
          <t>直前講習</t>
        </is>
      </c>
      <c r="V186" s="856" t="inlineStr">
        <is>
          <t>←</t>
        </is>
      </c>
    </row>
    <row r="187">
      <c r="A187" s="857" t="inlineStr">
        <is>
          <t>私大文系|現代文|標準|回</t>
        </is>
      </c>
      <c r="B187" s="857" t="inlineStr">
        <is>
          <t>私大文系</t>
        </is>
      </c>
      <c r="C187" s="857" t="inlineStr">
        <is>
          <t>現代文</t>
        </is>
      </c>
      <c r="D187" s="857" t="inlineStr">
        <is>
          <t>標準</t>
        </is>
      </c>
      <c r="E187" s="857" t="inlineStr">
        <is>
          <t>回</t>
        </is>
      </c>
      <c r="F187" s="857" t="n"/>
      <c r="G187" s="857" t="inlineStr">
        <is>
          <t>練成1</t>
        </is>
      </c>
      <c r="H187" s="857" t="inlineStr">
        <is>
          <t>練成2</t>
        </is>
      </c>
      <c r="I187" s="857" t="inlineStr">
        <is>
          <t>※</t>
        </is>
      </c>
      <c r="J187" s="857" t="inlineStr">
        <is>
          <t>※</t>
        </is>
      </c>
      <c r="K187" s="857" t="inlineStr">
        <is>
          <t>※</t>
        </is>
      </c>
      <c r="L187" s="857" t="inlineStr">
        <is>
          <t>※</t>
        </is>
      </c>
      <c r="M187" s="857" t="inlineStr">
        <is>
          <t>※</t>
        </is>
      </c>
      <c r="N187" s="857" t="inlineStr">
        <is>
          <t>※</t>
        </is>
      </c>
      <c r="O187" s="857" t="inlineStr">
        <is>
          <t>夏期1</t>
        </is>
      </c>
      <c r="P187" s="857" t="inlineStr">
        <is>
          <t>※</t>
        </is>
      </c>
      <c r="Q187" s="857" t="inlineStr">
        <is>
          <t>実戦1</t>
        </is>
      </c>
      <c r="R187" s="857" t="inlineStr">
        <is>
          <t>実戦2</t>
        </is>
      </c>
      <c r="S187" s="857" t="inlineStr">
        <is>
          <t>※</t>
        </is>
      </c>
      <c r="T187" s="857" t="inlineStr">
        <is>
          <t>※</t>
        </is>
      </c>
      <c r="U187" s="857" t="inlineStr">
        <is>
          <t>直前1</t>
        </is>
      </c>
      <c r="V187" s="857" t="inlineStr">
        <is>
          <t>※</t>
        </is>
      </c>
    </row>
    <row r="188">
      <c r="A188" s="857" t="inlineStr">
        <is>
          <t>私大文系|現代文|標準|塾</t>
        </is>
      </c>
      <c r="B188" s="857" t="inlineStr">
        <is>
          <t>私大文系</t>
        </is>
      </c>
      <c r="C188" s="857" t="inlineStr">
        <is>
          <t>現代文</t>
        </is>
      </c>
      <c r="D188" s="857" t="inlineStr">
        <is>
          <t>標準</t>
        </is>
      </c>
      <c r="E188" s="857" t="inlineStr">
        <is>
          <t>塾</t>
        </is>
      </c>
      <c r="F188" s="857" t="inlineStr">
        <is>
          <t>【塾】高2範囲の総復習・診断</t>
        </is>
      </c>
      <c r="G188" s="857" t="n"/>
      <c r="H188" s="857" t="n"/>
      <c r="I188" s="857" t="n"/>
      <c r="J188" s="857" t="inlineStr">
        <is>
          <t>【塾】入試現代文へのアクセス</t>
        </is>
      </c>
      <c r="K188" s="857" t="inlineStr">
        <is>
          <t>←</t>
        </is>
      </c>
      <c r="L188" s="857" t="inlineStr">
        <is>
          <t>←</t>
        </is>
      </c>
      <c r="M188" s="857" t="inlineStr">
        <is>
          <t>←</t>
        </is>
      </c>
      <c r="N188" s="857" t="inlineStr">
        <is>
          <t>←</t>
        </is>
      </c>
      <c r="O188" s="857" t="inlineStr">
        <is>
          <t>←</t>
        </is>
      </c>
      <c r="P188" s="857" t="inlineStr">
        <is>
          <t>←</t>
        </is>
      </c>
      <c r="Q188" s="857" t="inlineStr">
        <is>
          <t>【塾】入試現代文へのアクセス 発展編</t>
        </is>
      </c>
      <c r="R188" s="857" t="inlineStr">
        <is>
          <t>←</t>
        </is>
      </c>
      <c r="S188" s="857" t="inlineStr">
        <is>
          <t>←</t>
        </is>
      </c>
      <c r="T188" s="857" t="inlineStr">
        <is>
          <t>←</t>
        </is>
      </c>
      <c r="U188" s="857" t="inlineStr">
        <is>
          <t>【塾】{志望校}過去問</t>
        </is>
      </c>
      <c r="V188" s="857" t="inlineStr">
        <is>
          <t>←</t>
        </is>
      </c>
    </row>
    <row r="189">
      <c r="A189" s="857" t="inlineStr">
        <is>
          <t>私大文系|現代文|標準|家</t>
        </is>
      </c>
      <c r="B189" s="857" t="inlineStr">
        <is>
          <t>私大文系</t>
        </is>
      </c>
      <c r="C189" s="857" t="inlineStr">
        <is>
          <t>現代文</t>
        </is>
      </c>
      <c r="D189" s="857" t="inlineStr">
        <is>
          <t>標準</t>
        </is>
      </c>
      <c r="E189" s="857" t="inlineStr">
        <is>
          <t>家</t>
        </is>
      </c>
      <c r="F189" s="857" t="inlineStr">
        <is>
          <t>【家】現代文キーワード読解（毎週）</t>
        </is>
      </c>
      <c r="G189" s="857" t="inlineStr">
        <is>
          <t>←</t>
        </is>
      </c>
      <c r="H189" s="857" t="inlineStr">
        <is>
          <t>←</t>
        </is>
      </c>
      <c r="I189" s="857" t="inlineStr">
        <is>
          <t>←</t>
        </is>
      </c>
      <c r="J189" s="857" t="inlineStr">
        <is>
          <t>←</t>
        </is>
      </c>
      <c r="K189" s="857" t="inlineStr">
        <is>
          <t>←</t>
        </is>
      </c>
      <c r="L189" s="857" t="inlineStr">
        <is>
          <t>←</t>
        </is>
      </c>
      <c r="M189" s="857" t="inlineStr">
        <is>
          <t>←</t>
        </is>
      </c>
      <c r="N189" s="857" t="inlineStr">
        <is>
          <t>←</t>
        </is>
      </c>
      <c r="O189" s="857" t="inlineStr">
        <is>
          <t>←</t>
        </is>
      </c>
      <c r="P189" s="857" t="inlineStr">
        <is>
          <t>←</t>
        </is>
      </c>
      <c r="Q189" s="857" t="inlineStr">
        <is>
          <t>【家】現代文の問題集で演習</t>
        </is>
      </c>
      <c r="R189" s="857" t="inlineStr">
        <is>
          <t>←</t>
        </is>
      </c>
      <c r="S189" s="857" t="inlineStr">
        <is>
          <t>←</t>
        </is>
      </c>
      <c r="T189" s="857" t="inlineStr">
        <is>
          <t>←</t>
        </is>
      </c>
      <c r="U189" s="857" t="inlineStr">
        <is>
          <t>【家】{志望校}過去問</t>
        </is>
      </c>
      <c r="V189" s="857" t="inlineStr">
        <is>
          <t>←</t>
        </is>
      </c>
    </row>
    <row r="190">
      <c r="A190" s="856" t="inlineStr">
        <is>
          <t>私大文系|現代文|難関|講座</t>
        </is>
      </c>
      <c r="B190" s="856" t="inlineStr">
        <is>
          <t>私大文系</t>
        </is>
      </c>
      <c r="C190" s="856" t="inlineStr">
        <is>
          <t>現代文</t>
        </is>
      </c>
      <c r="D190" s="856" t="inlineStr">
        <is>
          <t>難関</t>
        </is>
      </c>
      <c r="E190" s="856" t="inlineStr">
        <is>
          <t>講座</t>
        </is>
      </c>
      <c r="F190" s="856" t="n"/>
      <c r="G190" s="856" t="inlineStr">
        <is>
          <t>難関私大現代文</t>
        </is>
      </c>
      <c r="H190" s="856" t="inlineStr">
        <is>
          <t>←</t>
        </is>
      </c>
      <c r="I190" s="856" t="inlineStr">
        <is>
          <t>←</t>
        </is>
      </c>
      <c r="J190" s="856" t="inlineStr">
        <is>
          <t>←</t>
        </is>
      </c>
      <c r="K190" s="856" t="inlineStr">
        <is>
          <t>←</t>
        </is>
      </c>
      <c r="L190" s="856" t="inlineStr">
        <is>
          <t>←</t>
        </is>
      </c>
      <c r="M190" s="856" t="inlineStr">
        <is>
          <t>←</t>
        </is>
      </c>
      <c r="N190" s="856" t="inlineStr">
        <is>
          <t>←</t>
        </is>
      </c>
      <c r="O190" s="856" t="inlineStr">
        <is>
          <t>夏期講習</t>
        </is>
      </c>
      <c r="P190" s="856" t="inlineStr">
        <is>
          <t>←</t>
        </is>
      </c>
      <c r="Q190" s="856" t="inlineStr">
        <is>
          <t>難関私大現代文</t>
        </is>
      </c>
      <c r="R190" s="856" t="inlineStr">
        <is>
          <t>←</t>
        </is>
      </c>
      <c r="S190" s="856" t="inlineStr">
        <is>
          <t>←</t>
        </is>
      </c>
      <c r="T190" s="856" t="inlineStr">
        <is>
          <t>←</t>
        </is>
      </c>
      <c r="U190" s="856" t="inlineStr">
        <is>
          <t>直前講習</t>
        </is>
      </c>
      <c r="V190" s="856" t="inlineStr">
        <is>
          <t>←</t>
        </is>
      </c>
    </row>
    <row r="191">
      <c r="A191" s="857" t="inlineStr">
        <is>
          <t>私大文系|現代文|難関|回</t>
        </is>
      </c>
      <c r="B191" s="857" t="inlineStr">
        <is>
          <t>私大文系</t>
        </is>
      </c>
      <c r="C191" s="857" t="inlineStr">
        <is>
          <t>現代文</t>
        </is>
      </c>
      <c r="D191" s="857" t="inlineStr">
        <is>
          <t>難関</t>
        </is>
      </c>
      <c r="E191" s="857" t="inlineStr">
        <is>
          <t>回</t>
        </is>
      </c>
      <c r="F191" s="857" t="n"/>
      <c r="G191" s="857" t="inlineStr">
        <is>
          <t>練成1</t>
        </is>
      </c>
      <c r="H191" s="857" t="inlineStr">
        <is>
          <t>練成2</t>
        </is>
      </c>
      <c r="I191" s="857" t="inlineStr">
        <is>
          <t>※</t>
        </is>
      </c>
      <c r="J191" s="857" t="inlineStr">
        <is>
          <t>※</t>
        </is>
      </c>
      <c r="K191" s="857" t="inlineStr">
        <is>
          <t>※</t>
        </is>
      </c>
      <c r="L191" s="857" t="inlineStr">
        <is>
          <t>※</t>
        </is>
      </c>
      <c r="M191" s="857" t="inlineStr">
        <is>
          <t>※</t>
        </is>
      </c>
      <c r="N191" s="857" t="inlineStr">
        <is>
          <t>※</t>
        </is>
      </c>
      <c r="O191" s="857" t="inlineStr">
        <is>
          <t>夏期1</t>
        </is>
      </c>
      <c r="P191" s="857" t="inlineStr">
        <is>
          <t>※</t>
        </is>
      </c>
      <c r="Q191" s="857" t="inlineStr">
        <is>
          <t>実戦1</t>
        </is>
      </c>
      <c r="R191" s="857" t="inlineStr">
        <is>
          <t>実戦2</t>
        </is>
      </c>
      <c r="S191" s="857" t="inlineStr">
        <is>
          <t>※</t>
        </is>
      </c>
      <c r="T191" s="857" t="inlineStr">
        <is>
          <t>※</t>
        </is>
      </c>
      <c r="U191" s="857" t="inlineStr">
        <is>
          <t>直前1</t>
        </is>
      </c>
      <c r="V191" s="857" t="inlineStr">
        <is>
          <t>※</t>
        </is>
      </c>
    </row>
    <row r="192">
      <c r="A192" s="857" t="inlineStr">
        <is>
          <t>私大文系|現代文|難関|塾</t>
        </is>
      </c>
      <c r="B192" s="857" t="inlineStr">
        <is>
          <t>私大文系</t>
        </is>
      </c>
      <c r="C192" s="857" t="inlineStr">
        <is>
          <t>現代文</t>
        </is>
      </c>
      <c r="D192" s="857" t="inlineStr">
        <is>
          <t>難関</t>
        </is>
      </c>
      <c r="E192" s="857" t="inlineStr">
        <is>
          <t>塾</t>
        </is>
      </c>
      <c r="F192" s="857" t="inlineStr">
        <is>
          <t>【塾】高2範囲の総復習・診断</t>
        </is>
      </c>
      <c r="G192" s="857" t="n"/>
      <c r="H192" s="857" t="n"/>
      <c r="I192" s="857" t="n"/>
      <c r="J192" s="857" t="inlineStr">
        <is>
          <t>【塾】現代文と格闘する</t>
        </is>
      </c>
      <c r="K192" s="857" t="inlineStr">
        <is>
          <t>←</t>
        </is>
      </c>
      <c r="L192" s="857" t="inlineStr">
        <is>
          <t>←</t>
        </is>
      </c>
      <c r="M192" s="857" t="inlineStr">
        <is>
          <t>←</t>
        </is>
      </c>
      <c r="N192" s="857" t="inlineStr">
        <is>
          <t>←</t>
        </is>
      </c>
      <c r="O192" s="857" t="inlineStr">
        <is>
          <t>←</t>
        </is>
      </c>
      <c r="P192" s="857" t="inlineStr">
        <is>
          <t>←</t>
        </is>
      </c>
      <c r="Q192" s="857" t="inlineStr">
        <is>
          <t>【塾】入試現代文へのアクセス 完成編</t>
        </is>
      </c>
      <c r="R192" s="857" t="inlineStr">
        <is>
          <t>←</t>
        </is>
      </c>
      <c r="S192" s="857" t="inlineStr">
        <is>
          <t>←</t>
        </is>
      </c>
      <c r="T192" s="857" t="inlineStr">
        <is>
          <t>←</t>
        </is>
      </c>
      <c r="U192" s="857" t="inlineStr">
        <is>
          <t>【塾】{志望校}過去問</t>
        </is>
      </c>
      <c r="V192" s="857" t="inlineStr">
        <is>
          <t>←</t>
        </is>
      </c>
    </row>
    <row r="193">
      <c r="A193" s="857" t="inlineStr">
        <is>
          <t>私大文系|現代文|難関|家</t>
        </is>
      </c>
      <c r="B193" s="857" t="inlineStr">
        <is>
          <t>私大文系</t>
        </is>
      </c>
      <c r="C193" s="857" t="inlineStr">
        <is>
          <t>現代文</t>
        </is>
      </c>
      <c r="D193" s="857" t="inlineStr">
        <is>
          <t>難関</t>
        </is>
      </c>
      <c r="E193" s="857" t="inlineStr">
        <is>
          <t>家</t>
        </is>
      </c>
      <c r="F193" s="857" t="inlineStr">
        <is>
          <t>【家】現代文キーワード読解（毎週）</t>
        </is>
      </c>
      <c r="G193" s="857" t="inlineStr">
        <is>
          <t>←</t>
        </is>
      </c>
      <c r="H193" s="857" t="inlineStr">
        <is>
          <t>←</t>
        </is>
      </c>
      <c r="I193" s="857" t="inlineStr">
        <is>
          <t>←</t>
        </is>
      </c>
      <c r="J193" s="857" t="inlineStr">
        <is>
          <t>←</t>
        </is>
      </c>
      <c r="K193" s="857" t="inlineStr">
        <is>
          <t>←</t>
        </is>
      </c>
      <c r="L193" s="857" t="inlineStr">
        <is>
          <t>←</t>
        </is>
      </c>
      <c r="M193" s="857" t="inlineStr">
        <is>
          <t>←</t>
        </is>
      </c>
      <c r="N193" s="857" t="inlineStr">
        <is>
          <t>←</t>
        </is>
      </c>
      <c r="O193" s="857" t="inlineStr">
        <is>
          <t>←</t>
        </is>
      </c>
      <c r="P193" s="857" t="inlineStr">
        <is>
          <t>←</t>
        </is>
      </c>
      <c r="Q193" s="857" t="inlineStr">
        <is>
          <t>【家】現代文の問題集で演習</t>
        </is>
      </c>
      <c r="R193" s="857" t="inlineStr">
        <is>
          <t>←</t>
        </is>
      </c>
      <c r="S193" s="857" t="inlineStr">
        <is>
          <t>←</t>
        </is>
      </c>
      <c r="T193" s="857" t="inlineStr">
        <is>
          <t>←</t>
        </is>
      </c>
      <c r="U193" s="857" t="inlineStr">
        <is>
          <t>【家】{志望校}過去問</t>
        </is>
      </c>
      <c r="V193" s="857" t="inlineStr">
        <is>
          <t>←</t>
        </is>
      </c>
    </row>
    <row r="194">
      <c r="A194" s="856" t="inlineStr">
        <is>
          <t>私大文系|古文|基礎|講座</t>
        </is>
      </c>
      <c r="B194" s="856" t="inlineStr">
        <is>
          <t>私大文系</t>
        </is>
      </c>
      <c r="C194" s="856" t="inlineStr">
        <is>
          <t>古文</t>
        </is>
      </c>
      <c r="D194" s="856" t="inlineStr">
        <is>
          <t>基礎</t>
        </is>
      </c>
      <c r="E194" s="856" t="inlineStr">
        <is>
          <t>講座</t>
        </is>
      </c>
      <c r="F194" s="856" t="n"/>
      <c r="G194" s="856" t="inlineStr">
        <is>
          <t>基礎古文（文法）</t>
        </is>
      </c>
      <c r="H194" s="856" t="inlineStr">
        <is>
          <t>←</t>
        </is>
      </c>
      <c r="I194" s="856" t="inlineStr">
        <is>
          <t>←</t>
        </is>
      </c>
      <c r="J194" s="856" t="inlineStr">
        <is>
          <t>←</t>
        </is>
      </c>
      <c r="K194" s="856" t="inlineStr">
        <is>
          <t>←</t>
        </is>
      </c>
      <c r="L194" s="856" t="inlineStr">
        <is>
          <t>←</t>
        </is>
      </c>
      <c r="M194" s="856" t="inlineStr">
        <is>
          <t>←</t>
        </is>
      </c>
      <c r="N194" s="856" t="inlineStr">
        <is>
          <t>←</t>
        </is>
      </c>
      <c r="O194" s="856" t="inlineStr">
        <is>
          <t>夏期講習</t>
        </is>
      </c>
      <c r="P194" s="856" t="inlineStr">
        <is>
          <t>←</t>
        </is>
      </c>
      <c r="Q194" s="856" t="inlineStr">
        <is>
          <t>基礎古文（文法）</t>
        </is>
      </c>
      <c r="R194" s="856" t="inlineStr">
        <is>
          <t>←</t>
        </is>
      </c>
      <c r="S194" s="856" t="inlineStr">
        <is>
          <t>←</t>
        </is>
      </c>
      <c r="T194" s="856" t="inlineStr">
        <is>
          <t>←</t>
        </is>
      </c>
      <c r="U194" s="856" t="inlineStr">
        <is>
          <t>直前講習</t>
        </is>
      </c>
      <c r="V194" s="856" t="inlineStr">
        <is>
          <t>←</t>
        </is>
      </c>
    </row>
    <row r="195">
      <c r="A195" s="857" t="inlineStr">
        <is>
          <t>私大文系|古文|基礎|回</t>
        </is>
      </c>
      <c r="B195" s="857" t="inlineStr">
        <is>
          <t>私大文系</t>
        </is>
      </c>
      <c r="C195" s="857" t="inlineStr">
        <is>
          <t>古文</t>
        </is>
      </c>
      <c r="D195" s="857" t="inlineStr">
        <is>
          <t>基礎</t>
        </is>
      </c>
      <c r="E195" s="857" t="inlineStr">
        <is>
          <t>回</t>
        </is>
      </c>
      <c r="F195" s="857" t="n"/>
      <c r="G195" s="857" t="inlineStr">
        <is>
          <t>練成1</t>
        </is>
      </c>
      <c r="H195" s="857" t="inlineStr">
        <is>
          <t>練成2</t>
        </is>
      </c>
      <c r="I195" s="857" t="inlineStr">
        <is>
          <t>※</t>
        </is>
      </c>
      <c r="J195" s="857" t="inlineStr">
        <is>
          <t>※</t>
        </is>
      </c>
      <c r="K195" s="857" t="inlineStr">
        <is>
          <t>※</t>
        </is>
      </c>
      <c r="L195" s="857" t="inlineStr">
        <is>
          <t>※</t>
        </is>
      </c>
      <c r="M195" s="857" t="inlineStr">
        <is>
          <t>※</t>
        </is>
      </c>
      <c r="N195" s="857" t="inlineStr">
        <is>
          <t>※</t>
        </is>
      </c>
      <c r="O195" s="857" t="inlineStr">
        <is>
          <t>夏期1</t>
        </is>
      </c>
      <c r="P195" s="857" t="inlineStr">
        <is>
          <t>※</t>
        </is>
      </c>
      <c r="Q195" s="857" t="inlineStr">
        <is>
          <t>実戦1</t>
        </is>
      </c>
      <c r="R195" s="857" t="inlineStr">
        <is>
          <t>実戦2</t>
        </is>
      </c>
      <c r="S195" s="857" t="inlineStr">
        <is>
          <t>※</t>
        </is>
      </c>
      <c r="T195" s="857" t="inlineStr">
        <is>
          <t>※</t>
        </is>
      </c>
      <c r="U195" s="857" t="inlineStr">
        <is>
          <t>直前1</t>
        </is>
      </c>
      <c r="V195" s="857" t="inlineStr">
        <is>
          <t>※</t>
        </is>
      </c>
    </row>
    <row r="196">
      <c r="A196" s="857" t="inlineStr">
        <is>
          <t>私大文系|古文|基礎|塾</t>
        </is>
      </c>
      <c r="B196" s="857" t="inlineStr">
        <is>
          <t>私大文系</t>
        </is>
      </c>
      <c r="C196" s="857" t="inlineStr">
        <is>
          <t>古文</t>
        </is>
      </c>
      <c r="D196" s="857" t="inlineStr">
        <is>
          <t>基礎</t>
        </is>
      </c>
      <c r="E196" s="857" t="inlineStr">
        <is>
          <t>塾</t>
        </is>
      </c>
      <c r="F196" s="857" t="inlineStr">
        <is>
          <t>【塾】古文文法 ステップアップノート30</t>
        </is>
      </c>
      <c r="G196" s="857" t="inlineStr">
        <is>
          <t>←</t>
        </is>
      </c>
      <c r="H196" s="857" t="inlineStr">
        <is>
          <t>←</t>
        </is>
      </c>
      <c r="I196" s="857" t="inlineStr">
        <is>
          <t>←</t>
        </is>
      </c>
      <c r="J196" s="857" t="inlineStr">
        <is>
          <t>←</t>
        </is>
      </c>
      <c r="K196" s="857" t="inlineStr">
        <is>
          <t>←</t>
        </is>
      </c>
      <c r="L196" s="857" t="inlineStr">
        <is>
          <t>←</t>
        </is>
      </c>
      <c r="M196" s="857" t="inlineStr">
        <is>
          <t>←</t>
        </is>
      </c>
      <c r="N196" s="857" t="inlineStr">
        <is>
          <t>←</t>
        </is>
      </c>
      <c r="O196" s="857" t="inlineStr">
        <is>
          <t>←</t>
        </is>
      </c>
      <c r="P196" s="857" t="inlineStr">
        <is>
          <t>←</t>
        </is>
      </c>
      <c r="Q196" s="857" t="inlineStr">
        <is>
          <t>【塾】志望校過去問（古文）</t>
        </is>
      </c>
      <c r="R196" s="857" t="inlineStr">
        <is>
          <t>←</t>
        </is>
      </c>
      <c r="S196" s="857" t="inlineStr">
        <is>
          <t>←</t>
        </is>
      </c>
      <c r="T196" s="857" t="inlineStr">
        <is>
          <t>←</t>
        </is>
      </c>
      <c r="U196" s="857" t="n"/>
      <c r="V196" s="857" t="n"/>
    </row>
    <row r="197">
      <c r="A197" s="857" t="inlineStr">
        <is>
          <t>私大文系|古文|基礎|家</t>
        </is>
      </c>
      <c r="B197" s="857" t="inlineStr">
        <is>
          <t>私大文系</t>
        </is>
      </c>
      <c r="C197" s="857" t="inlineStr">
        <is>
          <t>古文</t>
        </is>
      </c>
      <c r="D197" s="857" t="inlineStr">
        <is>
          <t>基礎</t>
        </is>
      </c>
      <c r="E197" s="857" t="inlineStr">
        <is>
          <t>家</t>
        </is>
      </c>
      <c r="F197" s="857" t="inlineStr">
        <is>
          <t>【家】重要古文単語315（1周目）</t>
        </is>
      </c>
      <c r="G197" s="857" t="inlineStr">
        <is>
          <t>←</t>
        </is>
      </c>
      <c r="H197" s="857" t="inlineStr">
        <is>
          <t>←</t>
        </is>
      </c>
      <c r="I197" s="857" t="inlineStr">
        <is>
          <t>←</t>
        </is>
      </c>
      <c r="J197" s="857" t="inlineStr">
        <is>
          <t>←</t>
        </is>
      </c>
      <c r="K197" s="857" t="inlineStr">
        <is>
          <t>←</t>
        </is>
      </c>
      <c r="L197" s="857" t="inlineStr">
        <is>
          <t>←</t>
        </is>
      </c>
      <c r="M197" s="857" t="inlineStr">
        <is>
          <t>【家】重要古文単語315（毎日復習）</t>
        </is>
      </c>
      <c r="N197" s="857" t="inlineStr">
        <is>
          <t>←</t>
        </is>
      </c>
      <c r="O197" s="857" t="inlineStr">
        <is>
          <t>←</t>
        </is>
      </c>
      <c r="P197" s="857" t="inlineStr">
        <is>
          <t>←</t>
        </is>
      </c>
      <c r="Q197" s="857" t="inlineStr">
        <is>
          <t>【家】重要古文単語315（毎日復習・10周）</t>
        </is>
      </c>
      <c r="R197" s="857" t="inlineStr">
        <is>
          <t>←</t>
        </is>
      </c>
      <c r="S197" s="857" t="inlineStr">
        <is>
          <t>←</t>
        </is>
      </c>
      <c r="T197" s="857" t="inlineStr">
        <is>
          <t>←</t>
        </is>
      </c>
      <c r="U197" s="857" t="inlineStr">
        <is>
          <t>←</t>
        </is>
      </c>
      <c r="V197" s="857" t="inlineStr">
        <is>
          <t>←</t>
        </is>
      </c>
    </row>
    <row r="198">
      <c r="A198" s="856" t="inlineStr">
        <is>
          <t>私大文系|古文|標準|講座</t>
        </is>
      </c>
      <c r="B198" s="856" t="inlineStr">
        <is>
          <t>私大文系</t>
        </is>
      </c>
      <c r="C198" s="856" t="inlineStr">
        <is>
          <t>古文</t>
        </is>
      </c>
      <c r="D198" s="856" t="inlineStr">
        <is>
          <t>標準</t>
        </is>
      </c>
      <c r="E198" s="856" t="inlineStr">
        <is>
          <t>講座</t>
        </is>
      </c>
      <c r="F198" s="856" t="n"/>
      <c r="G198" s="856" t="inlineStr">
        <is>
          <t>標準古文</t>
        </is>
      </c>
      <c r="H198" s="856" t="inlineStr">
        <is>
          <t>←</t>
        </is>
      </c>
      <c r="I198" s="856" t="inlineStr">
        <is>
          <t>←</t>
        </is>
      </c>
      <c r="J198" s="856" t="inlineStr">
        <is>
          <t>←</t>
        </is>
      </c>
      <c r="K198" s="856" t="inlineStr">
        <is>
          <t>←</t>
        </is>
      </c>
      <c r="L198" s="856" t="inlineStr">
        <is>
          <t>←</t>
        </is>
      </c>
      <c r="M198" s="856" t="inlineStr">
        <is>
          <t>←</t>
        </is>
      </c>
      <c r="N198" s="856" t="inlineStr">
        <is>
          <t>←</t>
        </is>
      </c>
      <c r="O198" s="856" t="inlineStr">
        <is>
          <t>夏期講習</t>
        </is>
      </c>
      <c r="P198" s="856" t="inlineStr">
        <is>
          <t>←</t>
        </is>
      </c>
      <c r="Q198" s="856" t="inlineStr">
        <is>
          <t>標準古文</t>
        </is>
      </c>
      <c r="R198" s="856" t="inlineStr">
        <is>
          <t>←</t>
        </is>
      </c>
      <c r="S198" s="856" t="inlineStr">
        <is>
          <t>←</t>
        </is>
      </c>
      <c r="T198" s="856" t="inlineStr">
        <is>
          <t>←</t>
        </is>
      </c>
      <c r="U198" s="856" t="inlineStr">
        <is>
          <t>直前講習</t>
        </is>
      </c>
      <c r="V198" s="856" t="inlineStr">
        <is>
          <t>←</t>
        </is>
      </c>
    </row>
    <row r="199">
      <c r="A199" s="857" t="inlineStr">
        <is>
          <t>私大文系|古文|標準|回</t>
        </is>
      </c>
      <c r="B199" s="857" t="inlineStr">
        <is>
          <t>私大文系</t>
        </is>
      </c>
      <c r="C199" s="857" t="inlineStr">
        <is>
          <t>古文</t>
        </is>
      </c>
      <c r="D199" s="857" t="inlineStr">
        <is>
          <t>標準</t>
        </is>
      </c>
      <c r="E199" s="857" t="inlineStr">
        <is>
          <t>回</t>
        </is>
      </c>
      <c r="F199" s="857" t="n"/>
      <c r="G199" s="857" t="inlineStr">
        <is>
          <t>練成1</t>
        </is>
      </c>
      <c r="H199" s="857" t="inlineStr">
        <is>
          <t>練成2</t>
        </is>
      </c>
      <c r="I199" s="857" t="inlineStr">
        <is>
          <t>※</t>
        </is>
      </c>
      <c r="J199" s="857" t="inlineStr">
        <is>
          <t>※</t>
        </is>
      </c>
      <c r="K199" s="857" t="inlineStr">
        <is>
          <t>※</t>
        </is>
      </c>
      <c r="L199" s="857" t="inlineStr">
        <is>
          <t>※</t>
        </is>
      </c>
      <c r="M199" s="857" t="inlineStr">
        <is>
          <t>※</t>
        </is>
      </c>
      <c r="N199" s="857" t="inlineStr">
        <is>
          <t>※</t>
        </is>
      </c>
      <c r="O199" s="857" t="inlineStr">
        <is>
          <t>夏期1</t>
        </is>
      </c>
      <c r="P199" s="857" t="inlineStr">
        <is>
          <t>※</t>
        </is>
      </c>
      <c r="Q199" s="857" t="inlineStr">
        <is>
          <t>実戦1</t>
        </is>
      </c>
      <c r="R199" s="857" t="inlineStr">
        <is>
          <t>実戦2</t>
        </is>
      </c>
      <c r="S199" s="857" t="inlineStr">
        <is>
          <t>※</t>
        </is>
      </c>
      <c r="T199" s="857" t="inlineStr">
        <is>
          <t>※</t>
        </is>
      </c>
      <c r="U199" s="857" t="inlineStr">
        <is>
          <t>直前1</t>
        </is>
      </c>
      <c r="V199" s="857" t="inlineStr">
        <is>
          <t>※</t>
        </is>
      </c>
    </row>
    <row r="200">
      <c r="A200" s="857" t="inlineStr">
        <is>
          <t>私大文系|古文|標準|塾</t>
        </is>
      </c>
      <c r="B200" s="857" t="inlineStr">
        <is>
          <t>私大文系</t>
        </is>
      </c>
      <c r="C200" s="857" t="inlineStr">
        <is>
          <t>古文</t>
        </is>
      </c>
      <c r="D200" s="857" t="inlineStr">
        <is>
          <t>標準</t>
        </is>
      </c>
      <c r="E200" s="857" t="inlineStr">
        <is>
          <t>塾</t>
        </is>
      </c>
      <c r="F200" s="857" t="inlineStr">
        <is>
          <t>【塾】古文上達 基礎編 読解と演習45</t>
        </is>
      </c>
      <c r="G200" s="857" t="inlineStr">
        <is>
          <t>←</t>
        </is>
      </c>
      <c r="H200" s="857" t="inlineStr">
        <is>
          <t>←</t>
        </is>
      </c>
      <c r="I200" s="857" t="inlineStr">
        <is>
          <t>←</t>
        </is>
      </c>
      <c r="J200" s="857" t="inlineStr">
        <is>
          <t>←</t>
        </is>
      </c>
      <c r="K200" s="857" t="inlineStr">
        <is>
          <t>←</t>
        </is>
      </c>
      <c r="L200" s="857" t="inlineStr">
        <is>
          <t>←</t>
        </is>
      </c>
      <c r="M200" s="857" t="inlineStr">
        <is>
          <t>←</t>
        </is>
      </c>
      <c r="N200" s="857" t="inlineStr">
        <is>
          <t>←</t>
        </is>
      </c>
      <c r="O200" s="857" t="inlineStr">
        <is>
          <t>←</t>
        </is>
      </c>
      <c r="P200" s="857" t="inlineStr">
        <is>
          <t>←</t>
        </is>
      </c>
      <c r="Q200" s="857" t="inlineStr">
        <is>
          <t>【塾】志望校過去問（古文）</t>
        </is>
      </c>
      <c r="R200" s="857" t="inlineStr">
        <is>
          <t>←</t>
        </is>
      </c>
      <c r="S200" s="857" t="inlineStr">
        <is>
          <t>←</t>
        </is>
      </c>
      <c r="T200" s="857" t="inlineStr">
        <is>
          <t>←</t>
        </is>
      </c>
      <c r="U200" s="857" t="n"/>
      <c r="V200" s="857" t="n"/>
    </row>
    <row r="201">
      <c r="A201" s="857" t="inlineStr">
        <is>
          <t>私大文系|古文|標準|家</t>
        </is>
      </c>
      <c r="B201" s="857" t="inlineStr">
        <is>
          <t>私大文系</t>
        </is>
      </c>
      <c r="C201" s="857" t="inlineStr">
        <is>
          <t>古文</t>
        </is>
      </c>
      <c r="D201" s="857" t="inlineStr">
        <is>
          <t>標準</t>
        </is>
      </c>
      <c r="E201" s="857" t="inlineStr">
        <is>
          <t>家</t>
        </is>
      </c>
      <c r="F201" s="857" t="inlineStr">
        <is>
          <t>【家】重要古文単語315（1周目）</t>
        </is>
      </c>
      <c r="G201" s="857" t="inlineStr">
        <is>
          <t>←</t>
        </is>
      </c>
      <c r="H201" s="857" t="inlineStr">
        <is>
          <t>←</t>
        </is>
      </c>
      <c r="I201" s="857" t="inlineStr">
        <is>
          <t>←</t>
        </is>
      </c>
      <c r="J201" s="857" t="inlineStr">
        <is>
          <t>←</t>
        </is>
      </c>
      <c r="K201" s="857" t="inlineStr">
        <is>
          <t>←</t>
        </is>
      </c>
      <c r="L201" s="857" t="inlineStr">
        <is>
          <t>←</t>
        </is>
      </c>
      <c r="M201" s="857" t="inlineStr">
        <is>
          <t>【家】重要古文単語315（毎日復習）</t>
        </is>
      </c>
      <c r="N201" s="857" t="inlineStr">
        <is>
          <t>←</t>
        </is>
      </c>
      <c r="O201" s="857" t="inlineStr">
        <is>
          <t>←</t>
        </is>
      </c>
      <c r="P201" s="857" t="inlineStr">
        <is>
          <t>←</t>
        </is>
      </c>
      <c r="Q201" s="857" t="inlineStr">
        <is>
          <t>【家】重要古文単語315（毎日復習・10周）</t>
        </is>
      </c>
      <c r="R201" s="857" t="inlineStr">
        <is>
          <t>←</t>
        </is>
      </c>
      <c r="S201" s="857" t="inlineStr">
        <is>
          <t>←</t>
        </is>
      </c>
      <c r="T201" s="857" t="inlineStr">
        <is>
          <t>←</t>
        </is>
      </c>
      <c r="U201" s="857" t="inlineStr">
        <is>
          <t>←</t>
        </is>
      </c>
      <c r="V201" s="857" t="inlineStr">
        <is>
          <t>←</t>
        </is>
      </c>
    </row>
    <row r="202">
      <c r="A202" s="856" t="inlineStr">
        <is>
          <t>私大文系|古文|難関|講座</t>
        </is>
      </c>
      <c r="B202" s="856" t="inlineStr">
        <is>
          <t>私大文系</t>
        </is>
      </c>
      <c r="C202" s="856" t="inlineStr">
        <is>
          <t>古文</t>
        </is>
      </c>
      <c r="D202" s="856" t="inlineStr">
        <is>
          <t>難関</t>
        </is>
      </c>
      <c r="E202" s="856" t="inlineStr">
        <is>
          <t>講座</t>
        </is>
      </c>
      <c r="F202" s="856" t="n"/>
      <c r="G202" s="856" t="inlineStr">
        <is>
          <t>G3LC　難関大古文ゼミ</t>
        </is>
      </c>
      <c r="H202" s="856" t="inlineStr">
        <is>
          <t>←</t>
        </is>
      </c>
      <c r="I202" s="856" t="inlineStr">
        <is>
          <t>←</t>
        </is>
      </c>
      <c r="J202" s="856" t="inlineStr">
        <is>
          <t>←</t>
        </is>
      </c>
      <c r="K202" s="856" t="inlineStr">
        <is>
          <t>←</t>
        </is>
      </c>
      <c r="L202" s="856" t="inlineStr">
        <is>
          <t>←</t>
        </is>
      </c>
      <c r="M202" s="856" t="inlineStr">
        <is>
          <t>←</t>
        </is>
      </c>
      <c r="N202" s="856" t="inlineStr">
        <is>
          <t>←</t>
        </is>
      </c>
      <c r="O202" s="856" t="inlineStr">
        <is>
          <t>NG3LC</t>
        </is>
      </c>
      <c r="P202" s="856" t="inlineStr">
        <is>
          <t>←</t>
        </is>
      </c>
      <c r="Q202" s="856" t="inlineStr">
        <is>
          <t>G3LC　難関大古文ゼミ</t>
        </is>
      </c>
      <c r="R202" s="856" t="inlineStr">
        <is>
          <t>←</t>
        </is>
      </c>
      <c r="S202" s="856" t="inlineStr">
        <is>
          <t>←</t>
        </is>
      </c>
      <c r="T202" s="856" t="inlineStr">
        <is>
          <t>←</t>
        </is>
      </c>
      <c r="U202" s="856" t="inlineStr">
        <is>
          <t>FG3LC</t>
        </is>
      </c>
      <c r="V202" s="856" t="inlineStr">
        <is>
          <t>←</t>
        </is>
      </c>
    </row>
    <row r="203">
      <c r="A203" s="857" t="inlineStr">
        <is>
          <t>私大文系|古文|難関|回</t>
        </is>
      </c>
      <c r="B203" s="857" t="inlineStr">
        <is>
          <t>私大文系</t>
        </is>
      </c>
      <c r="C203" s="857" t="inlineStr">
        <is>
          <t>古文</t>
        </is>
      </c>
      <c r="D203" s="857" t="inlineStr">
        <is>
          <t>難関</t>
        </is>
      </c>
      <c r="E203" s="857" t="inlineStr">
        <is>
          <t>回</t>
        </is>
      </c>
      <c r="F203" s="857" t="n"/>
      <c r="G203" s="857" t="inlineStr">
        <is>
          <t>前期1</t>
        </is>
      </c>
      <c r="H203" s="857" t="inlineStr">
        <is>
          <t>前期2</t>
        </is>
      </c>
      <c r="I203" s="857" t="inlineStr">
        <is>
          <t>※</t>
        </is>
      </c>
      <c r="J203" s="857" t="inlineStr">
        <is>
          <t>※</t>
        </is>
      </c>
      <c r="K203" s="857" t="inlineStr">
        <is>
          <t>※</t>
        </is>
      </c>
      <c r="L203" s="857" t="inlineStr">
        <is>
          <t>※</t>
        </is>
      </c>
      <c r="M203" s="857" t="inlineStr">
        <is>
          <t>※</t>
        </is>
      </c>
      <c r="N203" s="857" t="inlineStr">
        <is>
          <t>※</t>
        </is>
      </c>
      <c r="O203" s="857" t="inlineStr">
        <is>
          <t>夏期1</t>
        </is>
      </c>
      <c r="P203" s="857" t="inlineStr">
        <is>
          <t>夏期2</t>
        </is>
      </c>
      <c r="Q203" s="857" t="inlineStr">
        <is>
          <t>後期1</t>
        </is>
      </c>
      <c r="R203" s="857" t="inlineStr">
        <is>
          <t>後期2</t>
        </is>
      </c>
      <c r="S203" s="857" t="inlineStr">
        <is>
          <t>※</t>
        </is>
      </c>
      <c r="T203" s="857" t="inlineStr">
        <is>
          <t>※</t>
        </is>
      </c>
      <c r="U203" s="857" t="inlineStr">
        <is>
          <t>直前1</t>
        </is>
      </c>
      <c r="V203" s="857" t="inlineStr">
        <is>
          <t>※</t>
        </is>
      </c>
    </row>
    <row r="204">
      <c r="A204" s="857" t="inlineStr">
        <is>
          <t>私大文系|古文|難関|塾</t>
        </is>
      </c>
      <c r="B204" s="857" t="inlineStr">
        <is>
          <t>私大文系</t>
        </is>
      </c>
      <c r="C204" s="857" t="inlineStr">
        <is>
          <t>古文</t>
        </is>
      </c>
      <c r="D204" s="857" t="inlineStr">
        <is>
          <t>難関</t>
        </is>
      </c>
      <c r="E204" s="857" t="inlineStr">
        <is>
          <t>塾</t>
        </is>
      </c>
      <c r="F204" s="857" t="inlineStr">
        <is>
          <t>【塾】古文上達 基礎編 読解と演習45</t>
        </is>
      </c>
      <c r="G204" s="857" t="inlineStr">
        <is>
          <t>←</t>
        </is>
      </c>
      <c r="H204" s="857" t="inlineStr">
        <is>
          <t>←</t>
        </is>
      </c>
      <c r="I204" s="857" t="inlineStr">
        <is>
          <t>←</t>
        </is>
      </c>
      <c r="J204" s="857" t="inlineStr">
        <is>
          <t>←</t>
        </is>
      </c>
      <c r="K204" s="857" t="inlineStr">
        <is>
          <t>←</t>
        </is>
      </c>
      <c r="L204" s="857" t="inlineStr">
        <is>
          <t>←</t>
        </is>
      </c>
      <c r="M204" s="857" t="inlineStr">
        <is>
          <t>←</t>
        </is>
      </c>
      <c r="N204" s="857" t="inlineStr">
        <is>
          <t>←</t>
        </is>
      </c>
      <c r="O204" s="857" t="inlineStr">
        <is>
          <t>【塾】古文上達 復習</t>
        </is>
      </c>
      <c r="P204" s="857" t="inlineStr">
        <is>
          <t>←</t>
        </is>
      </c>
      <c r="Q204" s="857" t="inlineStr">
        <is>
          <t>【塾】志望校過去問（古文）</t>
        </is>
      </c>
      <c r="R204" s="857" t="inlineStr">
        <is>
          <t>←</t>
        </is>
      </c>
      <c r="S204" s="857" t="inlineStr">
        <is>
          <t>←</t>
        </is>
      </c>
      <c r="T204" s="857" t="inlineStr">
        <is>
          <t>←</t>
        </is>
      </c>
      <c r="U204" s="857" t="n"/>
      <c r="V204" s="857" t="n"/>
    </row>
    <row r="205">
      <c r="A205" s="857" t="inlineStr">
        <is>
          <t>私大文系|古文|難関|家</t>
        </is>
      </c>
      <c r="B205" s="857" t="inlineStr">
        <is>
          <t>私大文系</t>
        </is>
      </c>
      <c r="C205" s="857" t="inlineStr">
        <is>
          <t>古文</t>
        </is>
      </c>
      <c r="D205" s="857" t="inlineStr">
        <is>
          <t>難関</t>
        </is>
      </c>
      <c r="E205" s="857" t="inlineStr">
        <is>
          <t>家</t>
        </is>
      </c>
      <c r="F205" s="857" t="inlineStr">
        <is>
          <t>【家】重要古文単語315（1周目）</t>
        </is>
      </c>
      <c r="G205" s="857" t="inlineStr">
        <is>
          <t>←</t>
        </is>
      </c>
      <c r="H205" s="857" t="inlineStr">
        <is>
          <t>←</t>
        </is>
      </c>
      <c r="I205" s="857" t="inlineStr">
        <is>
          <t>←</t>
        </is>
      </c>
      <c r="J205" s="857" t="inlineStr">
        <is>
          <t>←</t>
        </is>
      </c>
      <c r="K205" s="857" t="inlineStr">
        <is>
          <t>←</t>
        </is>
      </c>
      <c r="L205" s="857" t="inlineStr">
        <is>
          <t>←</t>
        </is>
      </c>
      <c r="M205" s="857" t="inlineStr">
        <is>
          <t>【家】重要古文単語315（毎日復習）</t>
        </is>
      </c>
      <c r="N205" s="857" t="inlineStr">
        <is>
          <t>←</t>
        </is>
      </c>
      <c r="O205" s="857" t="inlineStr">
        <is>
          <t>←</t>
        </is>
      </c>
      <c r="P205" s="857" t="inlineStr">
        <is>
          <t>←</t>
        </is>
      </c>
      <c r="Q205" s="857" t="inlineStr">
        <is>
          <t>【家】重要古文単語315（毎日復習・10周）</t>
        </is>
      </c>
      <c r="R205" s="857" t="inlineStr">
        <is>
          <t>←</t>
        </is>
      </c>
      <c r="S205" s="857" t="inlineStr">
        <is>
          <t>←</t>
        </is>
      </c>
      <c r="T205" s="857" t="inlineStr">
        <is>
          <t>←</t>
        </is>
      </c>
      <c r="U205" s="857" t="inlineStr">
        <is>
          <t>←</t>
        </is>
      </c>
      <c r="V205" s="857" t="inlineStr">
        <is>
          <t>←</t>
        </is>
      </c>
    </row>
    <row r="206">
      <c r="A206" s="856" t="inlineStr">
        <is>
          <t>私大文系|漢文|基礎|講座</t>
        </is>
      </c>
      <c r="B206" s="856" t="inlineStr">
        <is>
          <t>私大文系</t>
        </is>
      </c>
      <c r="C206" s="856" t="inlineStr">
        <is>
          <t>漢文</t>
        </is>
      </c>
      <c r="D206" s="856" t="inlineStr">
        <is>
          <t>基礎</t>
        </is>
      </c>
      <c r="E206" s="856" t="inlineStr">
        <is>
          <t>講座</t>
        </is>
      </c>
      <c r="F206" s="856" t="n"/>
      <c r="G206" s="856" t="inlineStr">
        <is>
          <t>基礎漢文（句法）</t>
        </is>
      </c>
      <c r="H206" s="856" t="inlineStr">
        <is>
          <t>←</t>
        </is>
      </c>
      <c r="I206" s="856" t="inlineStr">
        <is>
          <t>←</t>
        </is>
      </c>
      <c r="J206" s="856" t="inlineStr">
        <is>
          <t>←</t>
        </is>
      </c>
      <c r="K206" s="856" t="inlineStr">
        <is>
          <t>←</t>
        </is>
      </c>
      <c r="L206" s="856" t="inlineStr">
        <is>
          <t>←</t>
        </is>
      </c>
      <c r="M206" s="856" t="inlineStr">
        <is>
          <t>←</t>
        </is>
      </c>
      <c r="N206" s="856" t="inlineStr">
        <is>
          <t>←</t>
        </is>
      </c>
      <c r="O206" s="856" t="n"/>
      <c r="P206" s="856" t="n"/>
      <c r="Q206" s="856" t="inlineStr">
        <is>
          <t>基礎漢文（句法）</t>
        </is>
      </c>
      <c r="R206" s="856" t="inlineStr">
        <is>
          <t>←</t>
        </is>
      </c>
      <c r="S206" s="856" t="inlineStr">
        <is>
          <t>←</t>
        </is>
      </c>
      <c r="T206" s="856" t="inlineStr">
        <is>
          <t>←</t>
        </is>
      </c>
      <c r="U206" s="856" t="n"/>
      <c r="V206" s="856" t="n"/>
    </row>
    <row r="207">
      <c r="A207" s="857" t="inlineStr">
        <is>
          <t>私大文系|漢文|基礎|回</t>
        </is>
      </c>
      <c r="B207" s="857" t="inlineStr">
        <is>
          <t>私大文系</t>
        </is>
      </c>
      <c r="C207" s="857" t="inlineStr">
        <is>
          <t>漢文</t>
        </is>
      </c>
      <c r="D207" s="857" t="inlineStr">
        <is>
          <t>基礎</t>
        </is>
      </c>
      <c r="E207" s="857" t="inlineStr">
        <is>
          <t>回</t>
        </is>
      </c>
      <c r="F207" s="857" t="n"/>
      <c r="G207" s="857" t="inlineStr">
        <is>
          <t>練成1</t>
        </is>
      </c>
      <c r="H207" s="857" t="inlineStr">
        <is>
          <t>※</t>
        </is>
      </c>
      <c r="I207" s="857" t="inlineStr">
        <is>
          <t>※</t>
        </is>
      </c>
      <c r="J207" s="857" t="inlineStr">
        <is>
          <t>※</t>
        </is>
      </c>
      <c r="K207" s="857" t="inlineStr">
        <is>
          <t>※</t>
        </is>
      </c>
      <c r="L207" s="857" t="inlineStr">
        <is>
          <t>※</t>
        </is>
      </c>
      <c r="M207" s="857" t="inlineStr">
        <is>
          <t>※</t>
        </is>
      </c>
      <c r="N207" s="857" t="inlineStr">
        <is>
          <t>※</t>
        </is>
      </c>
      <c r="O207" s="857" t="n"/>
      <c r="P207" s="857" t="n"/>
      <c r="Q207" s="857" t="inlineStr">
        <is>
          <t>実戦1</t>
        </is>
      </c>
      <c r="R207" s="857" t="inlineStr">
        <is>
          <t>※</t>
        </is>
      </c>
      <c r="S207" s="857" t="inlineStr">
        <is>
          <t>※</t>
        </is>
      </c>
      <c r="T207" s="857" t="inlineStr">
        <is>
          <t>※</t>
        </is>
      </c>
      <c r="U207" s="857" t="n"/>
      <c r="V207" s="857" t="n"/>
    </row>
    <row r="208">
      <c r="A208" s="857" t="inlineStr">
        <is>
          <t>私大文系|漢文|基礎|塾</t>
        </is>
      </c>
      <c r="B208" s="857" t="inlineStr">
        <is>
          <t>私大文系</t>
        </is>
      </c>
      <c r="C208" s="857" t="inlineStr">
        <is>
          <t>漢文</t>
        </is>
      </c>
      <c r="D208" s="857" t="inlineStr">
        <is>
          <t>基礎</t>
        </is>
      </c>
      <c r="E208" s="857" t="inlineStr">
        <is>
          <t>塾</t>
        </is>
      </c>
      <c r="F208" s="857" t="inlineStr">
        <is>
          <t>【塾】漢文早覚え速答法</t>
        </is>
      </c>
      <c r="G208" s="857" t="inlineStr">
        <is>
          <t>←</t>
        </is>
      </c>
      <c r="H208" s="857" t="inlineStr">
        <is>
          <t>←</t>
        </is>
      </c>
      <c r="I208" s="857" t="inlineStr">
        <is>
          <t>←</t>
        </is>
      </c>
      <c r="J208" s="857" t="n"/>
      <c r="K208" s="857" t="n"/>
      <c r="L208" s="857" t="n"/>
      <c r="M208" s="857" t="n"/>
      <c r="N208" s="857" t="n"/>
      <c r="O208" s="857" t="n"/>
      <c r="P208" s="857" t="n"/>
      <c r="Q208" s="857" t="inlineStr">
        <is>
          <t>【塾】志望校過去問（漢文）</t>
        </is>
      </c>
      <c r="R208" s="857" t="inlineStr">
        <is>
          <t>←</t>
        </is>
      </c>
      <c r="S208" s="857" t="inlineStr">
        <is>
          <t>←</t>
        </is>
      </c>
      <c r="T208" s="857" t="inlineStr">
        <is>
          <t>←</t>
        </is>
      </c>
      <c r="U208" s="857" t="inlineStr">
        <is>
          <t>←</t>
        </is>
      </c>
      <c r="V208" s="857" t="inlineStr">
        <is>
          <t>←</t>
        </is>
      </c>
    </row>
    <row r="209">
      <c r="A209" s="857" t="inlineStr">
        <is>
          <t>私大文系|漢文|基礎|家</t>
        </is>
      </c>
      <c r="B209" s="857" t="inlineStr">
        <is>
          <t>私大文系</t>
        </is>
      </c>
      <c r="C209" s="857" t="inlineStr">
        <is>
          <t>漢文</t>
        </is>
      </c>
      <c r="D209" s="857" t="inlineStr">
        <is>
          <t>基礎</t>
        </is>
      </c>
      <c r="E209" s="857" t="inlineStr">
        <is>
          <t>家</t>
        </is>
      </c>
      <c r="F209" s="857" t="n"/>
      <c r="G209" s="857" t="n"/>
      <c r="H209" s="857" t="n"/>
      <c r="I209" s="857" t="n"/>
      <c r="J209" s="857" t="inlineStr">
        <is>
          <t>【家】漢文早覚え速答法（句法の復習）</t>
        </is>
      </c>
      <c r="K209" s="857" t="inlineStr">
        <is>
          <t>←</t>
        </is>
      </c>
      <c r="L209" s="857" t="inlineStr">
        <is>
          <t>←</t>
        </is>
      </c>
      <c r="M209" s="857" t="inlineStr">
        <is>
          <t>←</t>
        </is>
      </c>
      <c r="N209" s="857" t="inlineStr">
        <is>
          <t>←</t>
        </is>
      </c>
      <c r="O209" s="857" t="inlineStr">
        <is>
          <t>←</t>
        </is>
      </c>
      <c r="P209" s="857" t="inlineStr">
        <is>
          <t>←</t>
        </is>
      </c>
      <c r="Q209" s="857" t="n"/>
      <c r="R209" s="857" t="n"/>
      <c r="S209" s="857" t="n"/>
      <c r="T209" s="857" t="n"/>
      <c r="U209" s="857" t="n"/>
      <c r="V209" s="857" t="n"/>
    </row>
    <row r="210">
      <c r="A210" s="856" t="inlineStr">
        <is>
          <t>私大文系|漢文|標準|講座</t>
        </is>
      </c>
      <c r="B210" s="856" t="inlineStr">
        <is>
          <t>私大文系</t>
        </is>
      </c>
      <c r="C210" s="856" t="inlineStr">
        <is>
          <t>漢文</t>
        </is>
      </c>
      <c r="D210" s="856" t="inlineStr">
        <is>
          <t>標準</t>
        </is>
      </c>
      <c r="E210" s="856" t="inlineStr">
        <is>
          <t>講座</t>
        </is>
      </c>
      <c r="F210" s="856" t="n"/>
      <c r="G210" s="856" t="inlineStr">
        <is>
          <t>基礎漢文（句法）</t>
        </is>
      </c>
      <c r="H210" s="856" t="inlineStr">
        <is>
          <t>←</t>
        </is>
      </c>
      <c r="I210" s="856" t="inlineStr">
        <is>
          <t>←</t>
        </is>
      </c>
      <c r="J210" s="856" t="inlineStr">
        <is>
          <t>←</t>
        </is>
      </c>
      <c r="K210" s="856" t="inlineStr">
        <is>
          <t>←</t>
        </is>
      </c>
      <c r="L210" s="856" t="inlineStr">
        <is>
          <t>←</t>
        </is>
      </c>
      <c r="M210" s="856" t="inlineStr">
        <is>
          <t>←</t>
        </is>
      </c>
      <c r="N210" s="856" t="inlineStr">
        <is>
          <t>←</t>
        </is>
      </c>
      <c r="O210" s="856" t="n"/>
      <c r="P210" s="856" t="n"/>
      <c r="Q210" s="856" t="inlineStr">
        <is>
          <t>基礎漢文（句法）</t>
        </is>
      </c>
      <c r="R210" s="856" t="inlineStr">
        <is>
          <t>←</t>
        </is>
      </c>
      <c r="S210" s="856" t="inlineStr">
        <is>
          <t>←</t>
        </is>
      </c>
      <c r="T210" s="856" t="inlineStr">
        <is>
          <t>←</t>
        </is>
      </c>
      <c r="U210" s="856" t="n"/>
      <c r="V210" s="856" t="n"/>
    </row>
    <row r="211">
      <c r="A211" s="857" t="inlineStr">
        <is>
          <t>私大文系|漢文|標準|回</t>
        </is>
      </c>
      <c r="B211" s="857" t="inlineStr">
        <is>
          <t>私大文系</t>
        </is>
      </c>
      <c r="C211" s="857" t="inlineStr">
        <is>
          <t>漢文</t>
        </is>
      </c>
      <c r="D211" s="857" t="inlineStr">
        <is>
          <t>標準</t>
        </is>
      </c>
      <c r="E211" s="857" t="inlineStr">
        <is>
          <t>回</t>
        </is>
      </c>
      <c r="F211" s="857" t="n"/>
      <c r="G211" s="857" t="inlineStr">
        <is>
          <t>練成1</t>
        </is>
      </c>
      <c r="H211" s="857" t="inlineStr">
        <is>
          <t>※</t>
        </is>
      </c>
      <c r="I211" s="857" t="inlineStr">
        <is>
          <t>※</t>
        </is>
      </c>
      <c r="J211" s="857" t="inlineStr">
        <is>
          <t>※</t>
        </is>
      </c>
      <c r="K211" s="857" t="inlineStr">
        <is>
          <t>※</t>
        </is>
      </c>
      <c r="L211" s="857" t="inlineStr">
        <is>
          <t>※</t>
        </is>
      </c>
      <c r="M211" s="857" t="inlineStr">
        <is>
          <t>※</t>
        </is>
      </c>
      <c r="N211" s="857" t="inlineStr">
        <is>
          <t>※</t>
        </is>
      </c>
      <c r="O211" s="857" t="n"/>
      <c r="P211" s="857" t="n"/>
      <c r="Q211" s="857" t="inlineStr">
        <is>
          <t>実戦1</t>
        </is>
      </c>
      <c r="R211" s="857" t="inlineStr">
        <is>
          <t>※</t>
        </is>
      </c>
      <c r="S211" s="857" t="inlineStr">
        <is>
          <t>※</t>
        </is>
      </c>
      <c r="T211" s="857" t="inlineStr">
        <is>
          <t>※</t>
        </is>
      </c>
      <c r="U211" s="857" t="n"/>
      <c r="V211" s="857" t="n"/>
    </row>
    <row r="212">
      <c r="A212" s="857" t="inlineStr">
        <is>
          <t>私大文系|漢文|標準|塾</t>
        </is>
      </c>
      <c r="B212" s="857" t="inlineStr">
        <is>
          <t>私大文系</t>
        </is>
      </c>
      <c r="C212" s="857" t="inlineStr">
        <is>
          <t>漢文</t>
        </is>
      </c>
      <c r="D212" s="857" t="inlineStr">
        <is>
          <t>標準</t>
        </is>
      </c>
      <c r="E212" s="857" t="inlineStr">
        <is>
          <t>塾</t>
        </is>
      </c>
      <c r="F212" s="857" t="inlineStr">
        <is>
          <t>【塾】漢文早覚え速答法</t>
        </is>
      </c>
      <c r="G212" s="857" t="inlineStr">
        <is>
          <t>←</t>
        </is>
      </c>
      <c r="H212" s="857" t="inlineStr">
        <is>
          <t>←</t>
        </is>
      </c>
      <c r="I212" s="857" t="inlineStr">
        <is>
          <t>←</t>
        </is>
      </c>
      <c r="J212" s="857" t="n"/>
      <c r="K212" s="857" t="n"/>
      <c r="L212" s="857" t="n"/>
      <c r="M212" s="857" t="n"/>
      <c r="N212" s="857" t="n"/>
      <c r="O212" s="857" t="n"/>
      <c r="P212" s="857" t="n"/>
      <c r="Q212" s="857" t="inlineStr">
        <is>
          <t>【塾】志望校過去問（漢文）</t>
        </is>
      </c>
      <c r="R212" s="857" t="inlineStr">
        <is>
          <t>←</t>
        </is>
      </c>
      <c r="S212" s="857" t="inlineStr">
        <is>
          <t>←</t>
        </is>
      </c>
      <c r="T212" s="857" t="inlineStr">
        <is>
          <t>←</t>
        </is>
      </c>
      <c r="U212" s="857" t="inlineStr">
        <is>
          <t>←</t>
        </is>
      </c>
      <c r="V212" s="857" t="inlineStr">
        <is>
          <t>←</t>
        </is>
      </c>
    </row>
    <row r="213">
      <c r="A213" s="857" t="inlineStr">
        <is>
          <t>私大文系|漢文|標準|家</t>
        </is>
      </c>
      <c r="B213" s="857" t="inlineStr">
        <is>
          <t>私大文系</t>
        </is>
      </c>
      <c r="C213" s="857" t="inlineStr">
        <is>
          <t>漢文</t>
        </is>
      </c>
      <c r="D213" s="857" t="inlineStr">
        <is>
          <t>標準</t>
        </is>
      </c>
      <c r="E213" s="857" t="inlineStr">
        <is>
          <t>家</t>
        </is>
      </c>
      <c r="F213" s="857" t="n"/>
      <c r="G213" s="857" t="n"/>
      <c r="H213" s="857" t="n"/>
      <c r="I213" s="857" t="n"/>
      <c r="J213" s="857" t="inlineStr">
        <is>
          <t>【家】漢文早覚え速答法（句法の復習）</t>
        </is>
      </c>
      <c r="K213" s="857" t="inlineStr">
        <is>
          <t>←</t>
        </is>
      </c>
      <c r="L213" s="857" t="inlineStr">
        <is>
          <t>←</t>
        </is>
      </c>
      <c r="M213" s="857" t="inlineStr">
        <is>
          <t>←</t>
        </is>
      </c>
      <c r="N213" s="857" t="inlineStr">
        <is>
          <t>←</t>
        </is>
      </c>
      <c r="O213" s="857" t="inlineStr">
        <is>
          <t>←</t>
        </is>
      </c>
      <c r="P213" s="857" t="inlineStr">
        <is>
          <t>←</t>
        </is>
      </c>
      <c r="Q213" s="857" t="n"/>
      <c r="R213" s="857" t="n"/>
      <c r="S213" s="857" t="n"/>
      <c r="T213" s="857" t="n"/>
      <c r="U213" s="857" t="n"/>
      <c r="V213" s="857" t="n"/>
    </row>
    <row r="214">
      <c r="A214" s="856" t="inlineStr">
        <is>
          <t>私大文系|漢文|難関|講座</t>
        </is>
      </c>
      <c r="B214" s="856" t="inlineStr">
        <is>
          <t>私大文系</t>
        </is>
      </c>
      <c r="C214" s="856" t="inlineStr">
        <is>
          <t>漢文</t>
        </is>
      </c>
      <c r="D214" s="856" t="inlineStr">
        <is>
          <t>難関</t>
        </is>
      </c>
      <c r="E214" s="856" t="inlineStr">
        <is>
          <t>講座</t>
        </is>
      </c>
      <c r="F214" s="856" t="n"/>
      <c r="G214" s="856" t="inlineStr">
        <is>
          <t>G3LK　難関大漢文</t>
        </is>
      </c>
      <c r="H214" s="856" t="inlineStr">
        <is>
          <t>←</t>
        </is>
      </c>
      <c r="I214" s="856" t="inlineStr">
        <is>
          <t>←</t>
        </is>
      </c>
      <c r="J214" s="856" t="inlineStr">
        <is>
          <t>←</t>
        </is>
      </c>
      <c r="K214" s="856" t="inlineStr">
        <is>
          <t>←</t>
        </is>
      </c>
      <c r="L214" s="856" t="inlineStr">
        <is>
          <t>←</t>
        </is>
      </c>
      <c r="M214" s="856" t="inlineStr">
        <is>
          <t>←</t>
        </is>
      </c>
      <c r="N214" s="856" t="inlineStr">
        <is>
          <t>←</t>
        </is>
      </c>
      <c r="O214" s="856" t="n"/>
      <c r="P214" s="856" t="n"/>
      <c r="Q214" s="856" t="inlineStr">
        <is>
          <t>G3LK　難関大漢文</t>
        </is>
      </c>
      <c r="R214" s="856" t="inlineStr">
        <is>
          <t>←</t>
        </is>
      </c>
      <c r="S214" s="856" t="inlineStr">
        <is>
          <t>←</t>
        </is>
      </c>
      <c r="T214" s="856" t="inlineStr">
        <is>
          <t>←</t>
        </is>
      </c>
      <c r="U214" s="856" t="n"/>
      <c r="V214" s="856" t="n"/>
    </row>
    <row r="215">
      <c r="A215" s="857" t="inlineStr">
        <is>
          <t>私大文系|漢文|難関|回</t>
        </is>
      </c>
      <c r="B215" s="857" t="inlineStr">
        <is>
          <t>私大文系</t>
        </is>
      </c>
      <c r="C215" s="857" t="inlineStr">
        <is>
          <t>漢文</t>
        </is>
      </c>
      <c r="D215" s="857" t="inlineStr">
        <is>
          <t>難関</t>
        </is>
      </c>
      <c r="E215" s="857" t="inlineStr">
        <is>
          <t>回</t>
        </is>
      </c>
      <c r="F215" s="857" t="n"/>
      <c r="G215" s="857" t="inlineStr">
        <is>
          <t>練成1</t>
        </is>
      </c>
      <c r="H215" s="857" t="inlineStr">
        <is>
          <t>※</t>
        </is>
      </c>
      <c r="I215" s="857" t="inlineStr">
        <is>
          <t>※</t>
        </is>
      </c>
      <c r="J215" s="857" t="inlineStr">
        <is>
          <t>※</t>
        </is>
      </c>
      <c r="K215" s="857" t="inlineStr">
        <is>
          <t>※</t>
        </is>
      </c>
      <c r="L215" s="857" t="inlineStr">
        <is>
          <t>※</t>
        </is>
      </c>
      <c r="M215" s="857" t="inlineStr">
        <is>
          <t>※</t>
        </is>
      </c>
      <c r="N215" s="857" t="inlineStr">
        <is>
          <t>※</t>
        </is>
      </c>
      <c r="O215" s="857" t="n"/>
      <c r="P215" s="857" t="n"/>
      <c r="Q215" s="857" t="inlineStr">
        <is>
          <t>実戦1</t>
        </is>
      </c>
      <c r="R215" s="857" t="inlineStr">
        <is>
          <t>※</t>
        </is>
      </c>
      <c r="S215" s="857" t="inlineStr">
        <is>
          <t>※</t>
        </is>
      </c>
      <c r="T215" s="857" t="inlineStr">
        <is>
          <t>※</t>
        </is>
      </c>
      <c r="U215" s="857" t="n"/>
      <c r="V215" s="857" t="n"/>
    </row>
    <row r="216">
      <c r="A216" s="857" t="inlineStr">
        <is>
          <t>私大文系|漢文|難関|塾</t>
        </is>
      </c>
      <c r="B216" s="857" t="inlineStr">
        <is>
          <t>私大文系</t>
        </is>
      </c>
      <c r="C216" s="857" t="inlineStr">
        <is>
          <t>漢文</t>
        </is>
      </c>
      <c r="D216" s="857" t="inlineStr">
        <is>
          <t>難関</t>
        </is>
      </c>
      <c r="E216" s="857" t="inlineStr">
        <is>
          <t>塾</t>
        </is>
      </c>
      <c r="F216" s="857" t="inlineStr">
        <is>
          <t>【塾】漢文早覚え速答法</t>
        </is>
      </c>
      <c r="G216" s="857" t="inlineStr">
        <is>
          <t>←</t>
        </is>
      </c>
      <c r="H216" s="857" t="inlineStr">
        <is>
          <t>←</t>
        </is>
      </c>
      <c r="I216" s="857" t="inlineStr">
        <is>
          <t>←</t>
        </is>
      </c>
      <c r="J216" s="857" t="n"/>
      <c r="K216" s="857" t="n"/>
      <c r="L216" s="857" t="n"/>
      <c r="M216" s="857" t="n"/>
      <c r="N216" s="857" t="n"/>
      <c r="O216" s="857" t="n"/>
      <c r="P216" s="857" t="n"/>
      <c r="Q216" s="857" t="inlineStr">
        <is>
          <t>【塾】志望校過去問（漢文）</t>
        </is>
      </c>
      <c r="R216" s="857" t="inlineStr">
        <is>
          <t>←</t>
        </is>
      </c>
      <c r="S216" s="857" t="inlineStr">
        <is>
          <t>←</t>
        </is>
      </c>
      <c r="T216" s="857" t="inlineStr">
        <is>
          <t>←</t>
        </is>
      </c>
      <c r="U216" s="857" t="inlineStr">
        <is>
          <t>←</t>
        </is>
      </c>
      <c r="V216" s="857" t="inlineStr">
        <is>
          <t>←</t>
        </is>
      </c>
    </row>
    <row r="217">
      <c r="A217" s="857" t="inlineStr">
        <is>
          <t>私大文系|漢文|難関|家</t>
        </is>
      </c>
      <c r="B217" s="857" t="inlineStr">
        <is>
          <t>私大文系</t>
        </is>
      </c>
      <c r="C217" s="857" t="inlineStr">
        <is>
          <t>漢文</t>
        </is>
      </c>
      <c r="D217" s="857" t="inlineStr">
        <is>
          <t>難関</t>
        </is>
      </c>
      <c r="E217" s="857" t="inlineStr">
        <is>
          <t>家</t>
        </is>
      </c>
      <c r="F217" s="857" t="n"/>
      <c r="G217" s="857" t="n"/>
      <c r="H217" s="857" t="n"/>
      <c r="I217" s="857" t="n"/>
      <c r="J217" s="857" t="inlineStr">
        <is>
          <t>【家】漢文早覚え速答法（句法の復習）</t>
        </is>
      </c>
      <c r="K217" s="857" t="inlineStr">
        <is>
          <t>←</t>
        </is>
      </c>
      <c r="L217" s="857" t="inlineStr">
        <is>
          <t>←</t>
        </is>
      </c>
      <c r="M217" s="857" t="inlineStr">
        <is>
          <t>←</t>
        </is>
      </c>
      <c r="N217" s="857" t="inlineStr">
        <is>
          <t>←</t>
        </is>
      </c>
      <c r="O217" s="857" t="inlineStr">
        <is>
          <t>←</t>
        </is>
      </c>
      <c r="P217" s="857" t="inlineStr">
        <is>
          <t>←</t>
        </is>
      </c>
      <c r="Q217" s="857" t="n"/>
      <c r="R217" s="857" t="n"/>
      <c r="S217" s="857" t="n"/>
      <c r="T217" s="857" t="n"/>
      <c r="U217" s="857" t="n"/>
      <c r="V217" s="857" t="n"/>
    </row>
    <row r="218">
      <c r="A218" s="856" t="inlineStr">
        <is>
          <t>私大文系|日本史|基礎|講座</t>
        </is>
      </c>
      <c r="B218" s="856" t="inlineStr">
        <is>
          <t>私大文系</t>
        </is>
      </c>
      <c r="C218" s="856" t="inlineStr">
        <is>
          <t>日本史</t>
        </is>
      </c>
      <c r="D218" s="856" t="inlineStr">
        <is>
          <t>基礎</t>
        </is>
      </c>
      <c r="E218" s="856" t="inlineStr">
        <is>
          <t>講座</t>
        </is>
      </c>
      <c r="F218" s="856" t="n"/>
      <c r="G218" s="856" t="inlineStr">
        <is>
          <t>標準日本史（通史）</t>
        </is>
      </c>
      <c r="H218" s="856" t="inlineStr">
        <is>
          <t>←</t>
        </is>
      </c>
      <c r="I218" s="856" t="inlineStr">
        <is>
          <t>←</t>
        </is>
      </c>
      <c r="J218" s="856" t="inlineStr">
        <is>
          <t>←</t>
        </is>
      </c>
      <c r="K218" s="856" t="inlineStr">
        <is>
          <t>←</t>
        </is>
      </c>
      <c r="L218" s="856" t="inlineStr">
        <is>
          <t>←</t>
        </is>
      </c>
      <c r="M218" s="856" t="inlineStr">
        <is>
          <t>←</t>
        </is>
      </c>
      <c r="N218" s="856" t="inlineStr">
        <is>
          <t>←</t>
        </is>
      </c>
      <c r="O218" s="856" t="inlineStr">
        <is>
          <t>夏期講習</t>
        </is>
      </c>
      <c r="P218" s="856" t="inlineStr">
        <is>
          <t>←</t>
        </is>
      </c>
      <c r="Q218" s="856" t="inlineStr">
        <is>
          <t>標準日本史（通史）</t>
        </is>
      </c>
      <c r="R218" s="856" t="inlineStr">
        <is>
          <t>←</t>
        </is>
      </c>
      <c r="S218" s="856" t="inlineStr">
        <is>
          <t>←</t>
        </is>
      </c>
      <c r="T218" s="856" t="inlineStr">
        <is>
          <t>←</t>
        </is>
      </c>
      <c r="U218" s="856" t="inlineStr">
        <is>
          <t>直前講習</t>
        </is>
      </c>
      <c r="V218" s="856" t="inlineStr">
        <is>
          <t>←</t>
        </is>
      </c>
    </row>
    <row r="219">
      <c r="A219" s="857" t="inlineStr">
        <is>
          <t>私大文系|日本史|基礎|回</t>
        </is>
      </c>
      <c r="B219" s="857" t="inlineStr">
        <is>
          <t>私大文系</t>
        </is>
      </c>
      <c r="C219" s="857" t="inlineStr">
        <is>
          <t>日本史</t>
        </is>
      </c>
      <c r="D219" s="857" t="inlineStr">
        <is>
          <t>基礎</t>
        </is>
      </c>
      <c r="E219" s="857" t="inlineStr">
        <is>
          <t>回</t>
        </is>
      </c>
      <c r="F219" s="857" t="n"/>
      <c r="G219" s="857" t="inlineStr">
        <is>
          <t>練成1</t>
        </is>
      </c>
      <c r="H219" s="857" t="inlineStr">
        <is>
          <t>練成2</t>
        </is>
      </c>
      <c r="I219" s="857" t="inlineStr">
        <is>
          <t>練成3</t>
        </is>
      </c>
      <c r="J219" s="857" t="inlineStr">
        <is>
          <t>練成4</t>
        </is>
      </c>
      <c r="K219" s="857" t="inlineStr">
        <is>
          <t>練成5</t>
        </is>
      </c>
      <c r="L219" s="857" t="inlineStr">
        <is>
          <t>練成6</t>
        </is>
      </c>
      <c r="M219" s="857" t="inlineStr">
        <is>
          <t>練成7</t>
        </is>
      </c>
      <c r="N219" s="857" t="inlineStr">
        <is>
          <t>練成8</t>
        </is>
      </c>
      <c r="O219" s="857" t="inlineStr">
        <is>
          <t>夏期1</t>
        </is>
      </c>
      <c r="P219" s="857" t="inlineStr">
        <is>
          <t>夏期2</t>
        </is>
      </c>
      <c r="Q219" s="857" t="inlineStr">
        <is>
          <t>実戦1</t>
        </is>
      </c>
      <c r="R219" s="857" t="inlineStr">
        <is>
          <t>実戦2</t>
        </is>
      </c>
      <c r="S219" s="857" t="inlineStr">
        <is>
          <t>実戦3</t>
        </is>
      </c>
      <c r="T219" s="857" t="inlineStr">
        <is>
          <t>実戦4</t>
        </is>
      </c>
      <c r="U219" s="857" t="inlineStr">
        <is>
          <t>直前1</t>
        </is>
      </c>
      <c r="V219" s="857" t="inlineStr">
        <is>
          <t>※</t>
        </is>
      </c>
    </row>
    <row r="220">
      <c r="A220" s="857" t="inlineStr">
        <is>
          <t>私大文系|日本史|基礎|塾</t>
        </is>
      </c>
      <c r="B220" s="857" t="inlineStr">
        <is>
          <t>私大文系</t>
        </is>
      </c>
      <c r="C220" s="857" t="inlineStr">
        <is>
          <t>日本史</t>
        </is>
      </c>
      <c r="D220" s="857" t="inlineStr">
        <is>
          <t>基礎</t>
        </is>
      </c>
      <c r="E220" s="857" t="inlineStr">
        <is>
          <t>塾</t>
        </is>
      </c>
      <c r="F220" s="857" t="inlineStr">
        <is>
          <t>（塾の授業教材は英語・数学・国語のみ）</t>
        </is>
      </c>
      <c r="G220" s="857" t="inlineStr">
        <is>
          <t>←</t>
        </is>
      </c>
      <c r="H220" s="857" t="inlineStr">
        <is>
          <t>←</t>
        </is>
      </c>
      <c r="I220" s="857" t="inlineStr">
        <is>
          <t>←</t>
        </is>
      </c>
      <c r="J220" s="857" t="inlineStr">
        <is>
          <t>←</t>
        </is>
      </c>
      <c r="K220" s="857" t="inlineStr">
        <is>
          <t>←</t>
        </is>
      </c>
      <c r="L220" s="857" t="inlineStr">
        <is>
          <t>←</t>
        </is>
      </c>
      <c r="M220" s="857" t="inlineStr">
        <is>
          <t>←</t>
        </is>
      </c>
      <c r="N220" s="857" t="inlineStr">
        <is>
          <t>←</t>
        </is>
      </c>
      <c r="O220" s="857" t="inlineStr">
        <is>
          <t>←</t>
        </is>
      </c>
      <c r="P220" s="857" t="inlineStr">
        <is>
          <t>←</t>
        </is>
      </c>
      <c r="Q220" s="857" t="inlineStr">
        <is>
          <t>（塾の授業教材は英語・数学・国語のみ）</t>
        </is>
      </c>
      <c r="R220" s="857" t="inlineStr">
        <is>
          <t>←</t>
        </is>
      </c>
      <c r="S220" s="857" t="inlineStr">
        <is>
          <t>←</t>
        </is>
      </c>
      <c r="T220" s="857" t="inlineStr">
        <is>
          <t>←</t>
        </is>
      </c>
      <c r="U220" s="857" t="inlineStr">
        <is>
          <t>←</t>
        </is>
      </c>
      <c r="V220" s="857" t="inlineStr">
        <is>
          <t>←</t>
        </is>
      </c>
    </row>
    <row r="221">
      <c r="A221" s="857" t="inlineStr">
        <is>
          <t>私大文系|日本史|基礎|家</t>
        </is>
      </c>
      <c r="B221" s="857" t="inlineStr">
        <is>
          <t>私大文系</t>
        </is>
      </c>
      <c r="C221" s="857" t="inlineStr">
        <is>
          <t>日本史</t>
        </is>
      </c>
      <c r="D221" s="857" t="inlineStr">
        <is>
          <t>基礎</t>
        </is>
      </c>
      <c r="E221" s="857" t="inlineStr">
        <is>
          <t>家</t>
        </is>
      </c>
      <c r="F221" s="857" t="inlineStr">
        <is>
          <t>【家】詳説日本史ノート（授業の復習）</t>
        </is>
      </c>
      <c r="G221" s="857" t="inlineStr">
        <is>
          <t>←</t>
        </is>
      </c>
      <c r="H221" s="857" t="inlineStr">
        <is>
          <t>←</t>
        </is>
      </c>
      <c r="I221" s="857" t="inlineStr">
        <is>
          <t>←</t>
        </is>
      </c>
      <c r="J221" s="857" t="inlineStr">
        <is>
          <t>←</t>
        </is>
      </c>
      <c r="K221" s="857" t="inlineStr">
        <is>
          <t>←</t>
        </is>
      </c>
      <c r="L221" s="857" t="inlineStr">
        <is>
          <t>←</t>
        </is>
      </c>
      <c r="M221" s="857" t="inlineStr">
        <is>
          <t>←</t>
        </is>
      </c>
      <c r="N221" s="857" t="inlineStr">
        <is>
          <t>←</t>
        </is>
      </c>
      <c r="O221" s="857" t="inlineStr">
        <is>
          <t>←</t>
        </is>
      </c>
      <c r="P221" s="857" t="inlineStr">
        <is>
          <t>←</t>
        </is>
      </c>
      <c r="Q221" s="857" t="inlineStr">
        <is>
          <t>【家】日本史一問一答【完全版】</t>
        </is>
      </c>
      <c r="R221" s="857" t="inlineStr">
        <is>
          <t>←</t>
        </is>
      </c>
      <c r="S221" s="857" t="inlineStr">
        <is>
          <t>←</t>
        </is>
      </c>
      <c r="T221" s="857" t="inlineStr">
        <is>
          <t>←</t>
        </is>
      </c>
      <c r="U221" s="857" t="inlineStr">
        <is>
          <t>【家】{志望校}過去問</t>
        </is>
      </c>
      <c r="V221" s="857" t="inlineStr">
        <is>
          <t>←</t>
        </is>
      </c>
    </row>
    <row r="222">
      <c r="A222" s="856" t="inlineStr">
        <is>
          <t>私大文系|日本史|標準|講座</t>
        </is>
      </c>
      <c r="B222" s="856" t="inlineStr">
        <is>
          <t>私大文系</t>
        </is>
      </c>
      <c r="C222" s="856" t="inlineStr">
        <is>
          <t>日本史</t>
        </is>
      </c>
      <c r="D222" s="856" t="inlineStr">
        <is>
          <t>標準</t>
        </is>
      </c>
      <c r="E222" s="856" t="inlineStr">
        <is>
          <t>講座</t>
        </is>
      </c>
      <c r="F222" s="856" t="n"/>
      <c r="G222" s="856" t="inlineStr">
        <is>
          <t>標準日本史（通史）</t>
        </is>
      </c>
      <c r="H222" s="856" t="inlineStr">
        <is>
          <t>←</t>
        </is>
      </c>
      <c r="I222" s="856" t="inlineStr">
        <is>
          <t>←</t>
        </is>
      </c>
      <c r="J222" s="856" t="inlineStr">
        <is>
          <t>←</t>
        </is>
      </c>
      <c r="K222" s="856" t="inlineStr">
        <is>
          <t>←</t>
        </is>
      </c>
      <c r="L222" s="856" t="inlineStr">
        <is>
          <t>←</t>
        </is>
      </c>
      <c r="M222" s="856" t="inlineStr">
        <is>
          <t>←</t>
        </is>
      </c>
      <c r="N222" s="856" t="inlineStr">
        <is>
          <t>←</t>
        </is>
      </c>
      <c r="O222" s="856" t="inlineStr">
        <is>
          <t>夏期講習</t>
        </is>
      </c>
      <c r="P222" s="856" t="inlineStr">
        <is>
          <t>←</t>
        </is>
      </c>
      <c r="Q222" s="856" t="inlineStr">
        <is>
          <t>標準日本史（通史）</t>
        </is>
      </c>
      <c r="R222" s="856" t="inlineStr">
        <is>
          <t>←</t>
        </is>
      </c>
      <c r="S222" s="856" t="inlineStr">
        <is>
          <t>←</t>
        </is>
      </c>
      <c r="T222" s="856" t="inlineStr">
        <is>
          <t>←</t>
        </is>
      </c>
      <c r="U222" s="856" t="inlineStr">
        <is>
          <t>直前講習</t>
        </is>
      </c>
      <c r="V222" s="856" t="inlineStr">
        <is>
          <t>←</t>
        </is>
      </c>
    </row>
    <row r="223">
      <c r="A223" s="857" t="inlineStr">
        <is>
          <t>私大文系|日本史|標準|回</t>
        </is>
      </c>
      <c r="B223" s="857" t="inlineStr">
        <is>
          <t>私大文系</t>
        </is>
      </c>
      <c r="C223" s="857" t="inlineStr">
        <is>
          <t>日本史</t>
        </is>
      </c>
      <c r="D223" s="857" t="inlineStr">
        <is>
          <t>標準</t>
        </is>
      </c>
      <c r="E223" s="857" t="inlineStr">
        <is>
          <t>回</t>
        </is>
      </c>
      <c r="F223" s="857" t="n"/>
      <c r="G223" s="857" t="inlineStr">
        <is>
          <t>練成1</t>
        </is>
      </c>
      <c r="H223" s="857" t="inlineStr">
        <is>
          <t>練成2</t>
        </is>
      </c>
      <c r="I223" s="857" t="inlineStr">
        <is>
          <t>練成3</t>
        </is>
      </c>
      <c r="J223" s="857" t="inlineStr">
        <is>
          <t>練成4</t>
        </is>
      </c>
      <c r="K223" s="857" t="inlineStr">
        <is>
          <t>練成5</t>
        </is>
      </c>
      <c r="L223" s="857" t="inlineStr">
        <is>
          <t>練成6</t>
        </is>
      </c>
      <c r="M223" s="857" t="inlineStr">
        <is>
          <t>練成7</t>
        </is>
      </c>
      <c r="N223" s="857" t="inlineStr">
        <is>
          <t>練成8</t>
        </is>
      </c>
      <c r="O223" s="857" t="inlineStr">
        <is>
          <t>夏期1</t>
        </is>
      </c>
      <c r="P223" s="857" t="inlineStr">
        <is>
          <t>夏期2</t>
        </is>
      </c>
      <c r="Q223" s="857" t="inlineStr">
        <is>
          <t>実戦1</t>
        </is>
      </c>
      <c r="R223" s="857" t="inlineStr">
        <is>
          <t>実戦2</t>
        </is>
      </c>
      <c r="S223" s="857" t="inlineStr">
        <is>
          <t>実戦3</t>
        </is>
      </c>
      <c r="T223" s="857" t="inlineStr">
        <is>
          <t>実戦4</t>
        </is>
      </c>
      <c r="U223" s="857" t="inlineStr">
        <is>
          <t>直前1</t>
        </is>
      </c>
      <c r="V223" s="857" t="inlineStr">
        <is>
          <t>※</t>
        </is>
      </c>
    </row>
    <row r="224">
      <c r="A224" s="857" t="inlineStr">
        <is>
          <t>私大文系|日本史|標準|塾</t>
        </is>
      </c>
      <c r="B224" s="857" t="inlineStr">
        <is>
          <t>私大文系</t>
        </is>
      </c>
      <c r="C224" s="857" t="inlineStr">
        <is>
          <t>日本史</t>
        </is>
      </c>
      <c r="D224" s="857" t="inlineStr">
        <is>
          <t>標準</t>
        </is>
      </c>
      <c r="E224" s="857" t="inlineStr">
        <is>
          <t>塾</t>
        </is>
      </c>
      <c r="F224" s="857" t="inlineStr">
        <is>
          <t>（塾の授業教材は英語・数学・国語のみ）</t>
        </is>
      </c>
      <c r="G224" s="857" t="inlineStr">
        <is>
          <t>←</t>
        </is>
      </c>
      <c r="H224" s="857" t="inlineStr">
        <is>
          <t>←</t>
        </is>
      </c>
      <c r="I224" s="857" t="inlineStr">
        <is>
          <t>←</t>
        </is>
      </c>
      <c r="J224" s="857" t="inlineStr">
        <is>
          <t>←</t>
        </is>
      </c>
      <c r="K224" s="857" t="inlineStr">
        <is>
          <t>←</t>
        </is>
      </c>
      <c r="L224" s="857" t="inlineStr">
        <is>
          <t>←</t>
        </is>
      </c>
      <c r="M224" s="857" t="inlineStr">
        <is>
          <t>←</t>
        </is>
      </c>
      <c r="N224" s="857" t="inlineStr">
        <is>
          <t>←</t>
        </is>
      </c>
      <c r="O224" s="857" t="inlineStr">
        <is>
          <t>←</t>
        </is>
      </c>
      <c r="P224" s="857" t="inlineStr">
        <is>
          <t>←</t>
        </is>
      </c>
      <c r="Q224" s="857" t="inlineStr">
        <is>
          <t>（塾の授業教材は英語・数学・国語のみ）</t>
        </is>
      </c>
      <c r="R224" s="857" t="inlineStr">
        <is>
          <t>←</t>
        </is>
      </c>
      <c r="S224" s="857" t="inlineStr">
        <is>
          <t>←</t>
        </is>
      </c>
      <c r="T224" s="857" t="inlineStr">
        <is>
          <t>←</t>
        </is>
      </c>
      <c r="U224" s="857" t="inlineStr">
        <is>
          <t>←</t>
        </is>
      </c>
      <c r="V224" s="857" t="inlineStr">
        <is>
          <t>←</t>
        </is>
      </c>
    </row>
    <row r="225">
      <c r="A225" s="857" t="inlineStr">
        <is>
          <t>私大文系|日本史|標準|家</t>
        </is>
      </c>
      <c r="B225" s="857" t="inlineStr">
        <is>
          <t>私大文系</t>
        </is>
      </c>
      <c r="C225" s="857" t="inlineStr">
        <is>
          <t>日本史</t>
        </is>
      </c>
      <c r="D225" s="857" t="inlineStr">
        <is>
          <t>標準</t>
        </is>
      </c>
      <c r="E225" s="857" t="inlineStr">
        <is>
          <t>家</t>
        </is>
      </c>
      <c r="F225" s="857" t="inlineStr">
        <is>
          <t>【家】日本史一問一答【完全版】（授業の復習・5周）</t>
        </is>
      </c>
      <c r="G225" s="857" t="inlineStr">
        <is>
          <t>←</t>
        </is>
      </c>
      <c r="H225" s="857" t="inlineStr">
        <is>
          <t>←</t>
        </is>
      </c>
      <c r="I225" s="857" t="inlineStr">
        <is>
          <t>←</t>
        </is>
      </c>
      <c r="J225" s="857" t="inlineStr">
        <is>
          <t>←</t>
        </is>
      </c>
      <c r="K225" s="857" t="inlineStr">
        <is>
          <t>←</t>
        </is>
      </c>
      <c r="L225" s="857" t="inlineStr">
        <is>
          <t>←</t>
        </is>
      </c>
      <c r="M225" s="857" t="inlineStr">
        <is>
          <t>←</t>
        </is>
      </c>
      <c r="N225" s="857" t="inlineStr">
        <is>
          <t>←</t>
        </is>
      </c>
      <c r="O225" s="857" t="inlineStr">
        <is>
          <t>←</t>
        </is>
      </c>
      <c r="P225" s="857" t="inlineStr">
        <is>
          <t>←</t>
        </is>
      </c>
      <c r="Q225" s="857" t="inlineStr">
        <is>
          <t>【家】日本史一問一答【完全版】</t>
        </is>
      </c>
      <c r="R225" s="857" t="inlineStr">
        <is>
          <t>←</t>
        </is>
      </c>
      <c r="S225" s="857" t="inlineStr">
        <is>
          <t>←</t>
        </is>
      </c>
      <c r="T225" s="857" t="inlineStr">
        <is>
          <t>←</t>
        </is>
      </c>
      <c r="U225" s="857" t="inlineStr">
        <is>
          <t>【家】{志望校}過去問</t>
        </is>
      </c>
      <c r="V225" s="857" t="inlineStr">
        <is>
          <t>←</t>
        </is>
      </c>
    </row>
    <row r="226">
      <c r="A226" s="856" t="inlineStr">
        <is>
          <t>私大文系|日本史|難関|講座</t>
        </is>
      </c>
      <c r="B226" s="856" t="inlineStr">
        <is>
          <t>私大文系</t>
        </is>
      </c>
      <c r="C226" s="856" t="inlineStr">
        <is>
          <t>日本史</t>
        </is>
      </c>
      <c r="D226" s="856" t="inlineStr">
        <is>
          <t>難関</t>
        </is>
      </c>
      <c r="E226" s="856" t="inlineStr">
        <is>
          <t>講座</t>
        </is>
      </c>
      <c r="F226" s="856" t="n"/>
      <c r="G226" s="856" t="inlineStr">
        <is>
          <t>G3J　難関大日本史</t>
        </is>
      </c>
      <c r="H226" s="856" t="inlineStr">
        <is>
          <t>←</t>
        </is>
      </c>
      <c r="I226" s="856" t="inlineStr">
        <is>
          <t>←</t>
        </is>
      </c>
      <c r="J226" s="856" t="inlineStr">
        <is>
          <t>←</t>
        </is>
      </c>
      <c r="K226" s="856" t="inlineStr">
        <is>
          <t>←</t>
        </is>
      </c>
      <c r="L226" s="856" t="inlineStr">
        <is>
          <t>←</t>
        </is>
      </c>
      <c r="M226" s="856" t="inlineStr">
        <is>
          <t>←</t>
        </is>
      </c>
      <c r="N226" s="856" t="inlineStr">
        <is>
          <t>←</t>
        </is>
      </c>
      <c r="O226" s="856" t="inlineStr">
        <is>
          <t>NG3J</t>
        </is>
      </c>
      <c r="P226" s="856" t="inlineStr">
        <is>
          <t>←</t>
        </is>
      </c>
      <c r="Q226" s="856" t="inlineStr">
        <is>
          <t>G3J　難関大日本史</t>
        </is>
      </c>
      <c r="R226" s="856" t="inlineStr">
        <is>
          <t>←</t>
        </is>
      </c>
      <c r="S226" s="856" t="inlineStr">
        <is>
          <t>←</t>
        </is>
      </c>
      <c r="T226" s="856" t="inlineStr">
        <is>
          <t>←</t>
        </is>
      </c>
      <c r="U226" s="856" t="inlineStr">
        <is>
          <t>FG3J</t>
        </is>
      </c>
      <c r="V226" s="856" t="inlineStr">
        <is>
          <t>←</t>
        </is>
      </c>
    </row>
    <row r="227">
      <c r="A227" s="857" t="inlineStr">
        <is>
          <t>私大文系|日本史|難関|回</t>
        </is>
      </c>
      <c r="B227" s="857" t="inlineStr">
        <is>
          <t>私大文系</t>
        </is>
      </c>
      <c r="C227" s="857" t="inlineStr">
        <is>
          <t>日本史</t>
        </is>
      </c>
      <c r="D227" s="857" t="inlineStr">
        <is>
          <t>難関</t>
        </is>
      </c>
      <c r="E227" s="857" t="inlineStr">
        <is>
          <t>回</t>
        </is>
      </c>
      <c r="F227" s="857" t="n"/>
      <c r="G227" s="857" t="inlineStr">
        <is>
          <t>練成1</t>
        </is>
      </c>
      <c r="H227" s="857" t="inlineStr">
        <is>
          <t>練成2</t>
        </is>
      </c>
      <c r="I227" s="857" t="inlineStr">
        <is>
          <t>練成3</t>
        </is>
      </c>
      <c r="J227" s="857" t="inlineStr">
        <is>
          <t>練成4</t>
        </is>
      </c>
      <c r="K227" s="857" t="inlineStr">
        <is>
          <t>練成5</t>
        </is>
      </c>
      <c r="L227" s="857" t="inlineStr">
        <is>
          <t>練成6</t>
        </is>
      </c>
      <c r="M227" s="857" t="inlineStr">
        <is>
          <t>練成7</t>
        </is>
      </c>
      <c r="N227" s="857" t="inlineStr">
        <is>
          <t>練成8</t>
        </is>
      </c>
      <c r="O227" s="857" t="inlineStr">
        <is>
          <t>夏期1</t>
        </is>
      </c>
      <c r="P227" s="857" t="inlineStr">
        <is>
          <t>夏期2</t>
        </is>
      </c>
      <c r="Q227" s="857" t="inlineStr">
        <is>
          <t>実戦1</t>
        </is>
      </c>
      <c r="R227" s="857" t="inlineStr">
        <is>
          <t>実戦2</t>
        </is>
      </c>
      <c r="S227" s="857" t="inlineStr">
        <is>
          <t>実戦3</t>
        </is>
      </c>
      <c r="T227" s="857" t="inlineStr">
        <is>
          <t>実戦4</t>
        </is>
      </c>
      <c r="U227" s="857" t="inlineStr">
        <is>
          <t>直前1</t>
        </is>
      </c>
      <c r="V227" s="857" t="inlineStr">
        <is>
          <t>※</t>
        </is>
      </c>
    </row>
    <row r="228">
      <c r="A228" s="857" t="inlineStr">
        <is>
          <t>私大文系|日本史|難関|塾</t>
        </is>
      </c>
      <c r="B228" s="857" t="inlineStr">
        <is>
          <t>私大文系</t>
        </is>
      </c>
      <c r="C228" s="857" t="inlineStr">
        <is>
          <t>日本史</t>
        </is>
      </c>
      <c r="D228" s="857" t="inlineStr">
        <is>
          <t>難関</t>
        </is>
      </c>
      <c r="E228" s="857" t="inlineStr">
        <is>
          <t>塾</t>
        </is>
      </c>
      <c r="F228" s="857" t="inlineStr">
        <is>
          <t>（塾の授業教材は英語・数学・国語のみ）</t>
        </is>
      </c>
      <c r="G228" s="857" t="inlineStr">
        <is>
          <t>←</t>
        </is>
      </c>
      <c r="H228" s="857" t="inlineStr">
        <is>
          <t>←</t>
        </is>
      </c>
      <c r="I228" s="857" t="inlineStr">
        <is>
          <t>←</t>
        </is>
      </c>
      <c r="J228" s="857" t="inlineStr">
        <is>
          <t>←</t>
        </is>
      </c>
      <c r="K228" s="857" t="inlineStr">
        <is>
          <t>←</t>
        </is>
      </c>
      <c r="L228" s="857" t="inlineStr">
        <is>
          <t>←</t>
        </is>
      </c>
      <c r="M228" s="857" t="inlineStr">
        <is>
          <t>←</t>
        </is>
      </c>
      <c r="N228" s="857" t="inlineStr">
        <is>
          <t>←</t>
        </is>
      </c>
      <c r="O228" s="857" t="inlineStr">
        <is>
          <t>←</t>
        </is>
      </c>
      <c r="P228" s="857" t="inlineStr">
        <is>
          <t>←</t>
        </is>
      </c>
      <c r="Q228" s="857" t="inlineStr">
        <is>
          <t>（塾の授業教材は英語・数学・国語のみ）</t>
        </is>
      </c>
      <c r="R228" s="857" t="inlineStr">
        <is>
          <t>←</t>
        </is>
      </c>
      <c r="S228" s="857" t="inlineStr">
        <is>
          <t>←</t>
        </is>
      </c>
      <c r="T228" s="857" t="inlineStr">
        <is>
          <t>←</t>
        </is>
      </c>
      <c r="U228" s="857" t="inlineStr">
        <is>
          <t>←</t>
        </is>
      </c>
      <c r="V228" s="857" t="inlineStr">
        <is>
          <t>←</t>
        </is>
      </c>
    </row>
    <row r="229">
      <c r="A229" s="857" t="inlineStr">
        <is>
          <t>私大文系|日本史|難関|家</t>
        </is>
      </c>
      <c r="B229" s="857" t="inlineStr">
        <is>
          <t>私大文系</t>
        </is>
      </c>
      <c r="C229" s="857" t="inlineStr">
        <is>
          <t>日本史</t>
        </is>
      </c>
      <c r="D229" s="857" t="inlineStr">
        <is>
          <t>難関</t>
        </is>
      </c>
      <c r="E229" s="857" t="inlineStr">
        <is>
          <t>家</t>
        </is>
      </c>
      <c r="F229" s="857" t="inlineStr">
        <is>
          <t>【家】日本史一問一答【完全版】（授業の復習・5周）</t>
        </is>
      </c>
      <c r="G229" s="857" t="inlineStr">
        <is>
          <t>←</t>
        </is>
      </c>
      <c r="H229" s="857" t="inlineStr">
        <is>
          <t>←</t>
        </is>
      </c>
      <c r="I229" s="857" t="inlineStr">
        <is>
          <t>←</t>
        </is>
      </c>
      <c r="J229" s="857" t="inlineStr">
        <is>
          <t>←</t>
        </is>
      </c>
      <c r="K229" s="857" t="inlineStr">
        <is>
          <t>←</t>
        </is>
      </c>
      <c r="L229" s="857" t="inlineStr">
        <is>
          <t>←</t>
        </is>
      </c>
      <c r="M229" s="857" t="inlineStr">
        <is>
          <t>←</t>
        </is>
      </c>
      <c r="N229" s="857" t="inlineStr">
        <is>
          <t>←</t>
        </is>
      </c>
      <c r="O229" s="857" t="inlineStr">
        <is>
          <t>←</t>
        </is>
      </c>
      <c r="P229" s="857" t="inlineStr">
        <is>
          <t>←</t>
        </is>
      </c>
      <c r="Q229" s="857" t="inlineStr">
        <is>
          <t>【家】日本史一問一答【完全版】</t>
        </is>
      </c>
      <c r="R229" s="857" t="inlineStr">
        <is>
          <t>←</t>
        </is>
      </c>
      <c r="S229" s="857" t="inlineStr">
        <is>
          <t>←</t>
        </is>
      </c>
      <c r="T229" s="857" t="inlineStr">
        <is>
          <t>←</t>
        </is>
      </c>
      <c r="U229" s="857" t="inlineStr">
        <is>
          <t>【家】{志望校}過去問</t>
        </is>
      </c>
      <c r="V229" s="857" t="inlineStr">
        <is>
          <t>←</t>
        </is>
      </c>
    </row>
    <row r="230">
      <c r="A230" s="856" t="inlineStr">
        <is>
          <t>私大文系|世界史|基礎|講座</t>
        </is>
      </c>
      <c r="B230" s="856" t="inlineStr">
        <is>
          <t>私大文系</t>
        </is>
      </c>
      <c r="C230" s="856" t="inlineStr">
        <is>
          <t>世界史</t>
        </is>
      </c>
      <c r="D230" s="856" t="inlineStr">
        <is>
          <t>基礎</t>
        </is>
      </c>
      <c r="E230" s="856" t="inlineStr">
        <is>
          <t>講座</t>
        </is>
      </c>
      <c r="F230" s="856" t="n"/>
      <c r="G230" s="856" t="inlineStr">
        <is>
          <t>標準世界史（通史）</t>
        </is>
      </c>
      <c r="H230" s="856" t="inlineStr">
        <is>
          <t>←</t>
        </is>
      </c>
      <c r="I230" s="856" t="inlineStr">
        <is>
          <t>←</t>
        </is>
      </c>
      <c r="J230" s="856" t="inlineStr">
        <is>
          <t>←</t>
        </is>
      </c>
      <c r="K230" s="856" t="inlineStr">
        <is>
          <t>←</t>
        </is>
      </c>
      <c r="L230" s="856" t="inlineStr">
        <is>
          <t>←</t>
        </is>
      </c>
      <c r="M230" s="856" t="inlineStr">
        <is>
          <t>←</t>
        </is>
      </c>
      <c r="N230" s="856" t="inlineStr">
        <is>
          <t>←</t>
        </is>
      </c>
      <c r="O230" s="856" t="inlineStr">
        <is>
          <t>夏期講習</t>
        </is>
      </c>
      <c r="P230" s="856" t="inlineStr">
        <is>
          <t>←</t>
        </is>
      </c>
      <c r="Q230" s="856" t="inlineStr">
        <is>
          <t>標準世界史（通史）</t>
        </is>
      </c>
      <c r="R230" s="856" t="inlineStr">
        <is>
          <t>←</t>
        </is>
      </c>
      <c r="S230" s="856" t="inlineStr">
        <is>
          <t>←</t>
        </is>
      </c>
      <c r="T230" s="856" t="inlineStr">
        <is>
          <t>←</t>
        </is>
      </c>
      <c r="U230" s="856" t="inlineStr">
        <is>
          <t>直前講習</t>
        </is>
      </c>
      <c r="V230" s="856" t="inlineStr">
        <is>
          <t>←</t>
        </is>
      </c>
    </row>
    <row r="231">
      <c r="A231" s="857" t="inlineStr">
        <is>
          <t>私大文系|世界史|基礎|回</t>
        </is>
      </c>
      <c r="B231" s="857" t="inlineStr">
        <is>
          <t>私大文系</t>
        </is>
      </c>
      <c r="C231" s="857" t="inlineStr">
        <is>
          <t>世界史</t>
        </is>
      </c>
      <c r="D231" s="857" t="inlineStr">
        <is>
          <t>基礎</t>
        </is>
      </c>
      <c r="E231" s="857" t="inlineStr">
        <is>
          <t>回</t>
        </is>
      </c>
      <c r="F231" s="857" t="n"/>
      <c r="G231" s="857" t="inlineStr">
        <is>
          <t>練成1</t>
        </is>
      </c>
      <c r="H231" s="857" t="inlineStr">
        <is>
          <t>練成2</t>
        </is>
      </c>
      <c r="I231" s="857" t="inlineStr">
        <is>
          <t>練成3</t>
        </is>
      </c>
      <c r="J231" s="857" t="inlineStr">
        <is>
          <t>練成4</t>
        </is>
      </c>
      <c r="K231" s="857" t="inlineStr">
        <is>
          <t>練成5</t>
        </is>
      </c>
      <c r="L231" s="857" t="inlineStr">
        <is>
          <t>練成6</t>
        </is>
      </c>
      <c r="M231" s="857" t="inlineStr">
        <is>
          <t>練成7</t>
        </is>
      </c>
      <c r="N231" s="857" t="inlineStr">
        <is>
          <t>練成8</t>
        </is>
      </c>
      <c r="O231" s="857" t="inlineStr">
        <is>
          <t>夏期1</t>
        </is>
      </c>
      <c r="P231" s="857" t="inlineStr">
        <is>
          <t>夏期2</t>
        </is>
      </c>
      <c r="Q231" s="857" t="inlineStr">
        <is>
          <t>実戦1</t>
        </is>
      </c>
      <c r="R231" s="857" t="inlineStr">
        <is>
          <t>実戦2</t>
        </is>
      </c>
      <c r="S231" s="857" t="inlineStr">
        <is>
          <t>実戦3</t>
        </is>
      </c>
      <c r="T231" s="857" t="inlineStr">
        <is>
          <t>実戦4</t>
        </is>
      </c>
      <c r="U231" s="857" t="inlineStr">
        <is>
          <t>直前1</t>
        </is>
      </c>
      <c r="V231" s="857" t="inlineStr">
        <is>
          <t>※</t>
        </is>
      </c>
    </row>
    <row r="232">
      <c r="A232" s="857" t="inlineStr">
        <is>
          <t>私大文系|世界史|基礎|塾</t>
        </is>
      </c>
      <c r="B232" s="857" t="inlineStr">
        <is>
          <t>私大文系</t>
        </is>
      </c>
      <c r="C232" s="857" t="inlineStr">
        <is>
          <t>世界史</t>
        </is>
      </c>
      <c r="D232" s="857" t="inlineStr">
        <is>
          <t>基礎</t>
        </is>
      </c>
      <c r="E232" s="857" t="inlineStr">
        <is>
          <t>塾</t>
        </is>
      </c>
      <c r="F232" s="857" t="inlineStr">
        <is>
          <t>（塾の授業教材は英語・数学・国語のみ）</t>
        </is>
      </c>
      <c r="G232" s="857" t="inlineStr">
        <is>
          <t>←</t>
        </is>
      </c>
      <c r="H232" s="857" t="inlineStr">
        <is>
          <t>←</t>
        </is>
      </c>
      <c r="I232" s="857" t="inlineStr">
        <is>
          <t>←</t>
        </is>
      </c>
      <c r="J232" s="857" t="inlineStr">
        <is>
          <t>←</t>
        </is>
      </c>
      <c r="K232" s="857" t="inlineStr">
        <is>
          <t>←</t>
        </is>
      </c>
      <c r="L232" s="857" t="inlineStr">
        <is>
          <t>←</t>
        </is>
      </c>
      <c r="M232" s="857" t="inlineStr">
        <is>
          <t>←</t>
        </is>
      </c>
      <c r="N232" s="857" t="inlineStr">
        <is>
          <t>←</t>
        </is>
      </c>
      <c r="O232" s="857" t="inlineStr">
        <is>
          <t>←</t>
        </is>
      </c>
      <c r="P232" s="857" t="inlineStr">
        <is>
          <t>←</t>
        </is>
      </c>
      <c r="Q232" s="857" t="inlineStr">
        <is>
          <t>（塾の授業教材は英語・数学・国語のみ）</t>
        </is>
      </c>
      <c r="R232" s="857" t="inlineStr">
        <is>
          <t>←</t>
        </is>
      </c>
      <c r="S232" s="857" t="inlineStr">
        <is>
          <t>←</t>
        </is>
      </c>
      <c r="T232" s="857" t="inlineStr">
        <is>
          <t>←</t>
        </is>
      </c>
      <c r="U232" s="857" t="inlineStr">
        <is>
          <t>←</t>
        </is>
      </c>
      <c r="V232" s="857" t="inlineStr">
        <is>
          <t>←</t>
        </is>
      </c>
    </row>
    <row r="233">
      <c r="A233" s="857" t="inlineStr">
        <is>
          <t>私大文系|世界史|基礎|家</t>
        </is>
      </c>
      <c r="B233" s="857" t="inlineStr">
        <is>
          <t>私大文系</t>
        </is>
      </c>
      <c r="C233" s="857" t="inlineStr">
        <is>
          <t>世界史</t>
        </is>
      </c>
      <c r="D233" s="857" t="inlineStr">
        <is>
          <t>基礎</t>
        </is>
      </c>
      <c r="E233" s="857" t="inlineStr">
        <is>
          <t>家</t>
        </is>
      </c>
      <c r="F233" s="857" t="inlineStr">
        <is>
          <t>【家】詳説世界史ノート（授業の復習）</t>
        </is>
      </c>
      <c r="G233" s="857" t="inlineStr">
        <is>
          <t>←</t>
        </is>
      </c>
      <c r="H233" s="857" t="inlineStr">
        <is>
          <t>←</t>
        </is>
      </c>
      <c r="I233" s="857" t="inlineStr">
        <is>
          <t>←</t>
        </is>
      </c>
      <c r="J233" s="857" t="inlineStr">
        <is>
          <t>←</t>
        </is>
      </c>
      <c r="K233" s="857" t="inlineStr">
        <is>
          <t>←</t>
        </is>
      </c>
      <c r="L233" s="857" t="inlineStr">
        <is>
          <t>←</t>
        </is>
      </c>
      <c r="M233" s="857" t="inlineStr">
        <is>
          <t>←</t>
        </is>
      </c>
      <c r="N233" s="857" t="inlineStr">
        <is>
          <t>←</t>
        </is>
      </c>
      <c r="O233" s="857" t="inlineStr">
        <is>
          <t>←</t>
        </is>
      </c>
      <c r="P233" s="857" t="inlineStr">
        <is>
          <t>←</t>
        </is>
      </c>
      <c r="Q233" s="857" t="inlineStr">
        <is>
          <t>【家】世界史一問一答【完全版】</t>
        </is>
      </c>
      <c r="R233" s="857" t="inlineStr">
        <is>
          <t>←</t>
        </is>
      </c>
      <c r="S233" s="857" t="inlineStr">
        <is>
          <t>←</t>
        </is>
      </c>
      <c r="T233" s="857" t="inlineStr">
        <is>
          <t>←</t>
        </is>
      </c>
      <c r="U233" s="857" t="inlineStr">
        <is>
          <t>【家】{志望校}過去問</t>
        </is>
      </c>
      <c r="V233" s="857" t="inlineStr">
        <is>
          <t>←</t>
        </is>
      </c>
    </row>
    <row r="234">
      <c r="A234" s="856" t="inlineStr">
        <is>
          <t>私大文系|世界史|標準|講座</t>
        </is>
      </c>
      <c r="B234" s="856" t="inlineStr">
        <is>
          <t>私大文系</t>
        </is>
      </c>
      <c r="C234" s="856" t="inlineStr">
        <is>
          <t>世界史</t>
        </is>
      </c>
      <c r="D234" s="856" t="inlineStr">
        <is>
          <t>標準</t>
        </is>
      </c>
      <c r="E234" s="856" t="inlineStr">
        <is>
          <t>講座</t>
        </is>
      </c>
      <c r="F234" s="856" t="n"/>
      <c r="G234" s="856" t="inlineStr">
        <is>
          <t>標準世界史（通史）</t>
        </is>
      </c>
      <c r="H234" s="856" t="inlineStr">
        <is>
          <t>←</t>
        </is>
      </c>
      <c r="I234" s="856" t="inlineStr">
        <is>
          <t>←</t>
        </is>
      </c>
      <c r="J234" s="856" t="inlineStr">
        <is>
          <t>←</t>
        </is>
      </c>
      <c r="K234" s="856" t="inlineStr">
        <is>
          <t>←</t>
        </is>
      </c>
      <c r="L234" s="856" t="inlineStr">
        <is>
          <t>←</t>
        </is>
      </c>
      <c r="M234" s="856" t="inlineStr">
        <is>
          <t>←</t>
        </is>
      </c>
      <c r="N234" s="856" t="inlineStr">
        <is>
          <t>←</t>
        </is>
      </c>
      <c r="O234" s="856" t="inlineStr">
        <is>
          <t>夏期講習</t>
        </is>
      </c>
      <c r="P234" s="856" t="inlineStr">
        <is>
          <t>←</t>
        </is>
      </c>
      <c r="Q234" s="856" t="inlineStr">
        <is>
          <t>標準世界史（通史）</t>
        </is>
      </c>
      <c r="R234" s="856" t="inlineStr">
        <is>
          <t>←</t>
        </is>
      </c>
      <c r="S234" s="856" t="inlineStr">
        <is>
          <t>←</t>
        </is>
      </c>
      <c r="T234" s="856" t="inlineStr">
        <is>
          <t>←</t>
        </is>
      </c>
      <c r="U234" s="856" t="inlineStr">
        <is>
          <t>直前講習</t>
        </is>
      </c>
      <c r="V234" s="856" t="inlineStr">
        <is>
          <t>←</t>
        </is>
      </c>
    </row>
    <row r="235">
      <c r="A235" s="857" t="inlineStr">
        <is>
          <t>私大文系|世界史|標準|回</t>
        </is>
      </c>
      <c r="B235" s="857" t="inlineStr">
        <is>
          <t>私大文系</t>
        </is>
      </c>
      <c r="C235" s="857" t="inlineStr">
        <is>
          <t>世界史</t>
        </is>
      </c>
      <c r="D235" s="857" t="inlineStr">
        <is>
          <t>標準</t>
        </is>
      </c>
      <c r="E235" s="857" t="inlineStr">
        <is>
          <t>回</t>
        </is>
      </c>
      <c r="F235" s="857" t="n"/>
      <c r="G235" s="857" t="inlineStr">
        <is>
          <t>練成1</t>
        </is>
      </c>
      <c r="H235" s="857" t="inlineStr">
        <is>
          <t>練成2</t>
        </is>
      </c>
      <c r="I235" s="857" t="inlineStr">
        <is>
          <t>練成3</t>
        </is>
      </c>
      <c r="J235" s="857" t="inlineStr">
        <is>
          <t>練成4</t>
        </is>
      </c>
      <c r="K235" s="857" t="inlineStr">
        <is>
          <t>練成5</t>
        </is>
      </c>
      <c r="L235" s="857" t="inlineStr">
        <is>
          <t>練成6</t>
        </is>
      </c>
      <c r="M235" s="857" t="inlineStr">
        <is>
          <t>練成7</t>
        </is>
      </c>
      <c r="N235" s="857" t="inlineStr">
        <is>
          <t>練成8</t>
        </is>
      </c>
      <c r="O235" s="857" t="inlineStr">
        <is>
          <t>夏期1</t>
        </is>
      </c>
      <c r="P235" s="857" t="inlineStr">
        <is>
          <t>夏期2</t>
        </is>
      </c>
      <c r="Q235" s="857" t="inlineStr">
        <is>
          <t>実戦1</t>
        </is>
      </c>
      <c r="R235" s="857" t="inlineStr">
        <is>
          <t>実戦2</t>
        </is>
      </c>
      <c r="S235" s="857" t="inlineStr">
        <is>
          <t>実戦3</t>
        </is>
      </c>
      <c r="T235" s="857" t="inlineStr">
        <is>
          <t>実戦4</t>
        </is>
      </c>
      <c r="U235" s="857" t="inlineStr">
        <is>
          <t>直前1</t>
        </is>
      </c>
      <c r="V235" s="857" t="inlineStr">
        <is>
          <t>※</t>
        </is>
      </c>
    </row>
    <row r="236">
      <c r="A236" s="857" t="inlineStr">
        <is>
          <t>私大文系|世界史|標準|塾</t>
        </is>
      </c>
      <c r="B236" s="857" t="inlineStr">
        <is>
          <t>私大文系</t>
        </is>
      </c>
      <c r="C236" s="857" t="inlineStr">
        <is>
          <t>世界史</t>
        </is>
      </c>
      <c r="D236" s="857" t="inlineStr">
        <is>
          <t>標準</t>
        </is>
      </c>
      <c r="E236" s="857" t="inlineStr">
        <is>
          <t>塾</t>
        </is>
      </c>
      <c r="F236" s="857" t="inlineStr">
        <is>
          <t>（塾の授業教材は英語・数学・国語のみ）</t>
        </is>
      </c>
      <c r="G236" s="857" t="inlineStr">
        <is>
          <t>←</t>
        </is>
      </c>
      <c r="H236" s="857" t="inlineStr">
        <is>
          <t>←</t>
        </is>
      </c>
      <c r="I236" s="857" t="inlineStr">
        <is>
          <t>←</t>
        </is>
      </c>
      <c r="J236" s="857" t="inlineStr">
        <is>
          <t>←</t>
        </is>
      </c>
      <c r="K236" s="857" t="inlineStr">
        <is>
          <t>←</t>
        </is>
      </c>
      <c r="L236" s="857" t="inlineStr">
        <is>
          <t>←</t>
        </is>
      </c>
      <c r="M236" s="857" t="inlineStr">
        <is>
          <t>←</t>
        </is>
      </c>
      <c r="N236" s="857" t="inlineStr">
        <is>
          <t>←</t>
        </is>
      </c>
      <c r="O236" s="857" t="inlineStr">
        <is>
          <t>←</t>
        </is>
      </c>
      <c r="P236" s="857" t="inlineStr">
        <is>
          <t>←</t>
        </is>
      </c>
      <c r="Q236" s="857" t="inlineStr">
        <is>
          <t>（塾の授業教材は英語・数学・国語のみ）</t>
        </is>
      </c>
      <c r="R236" s="857" t="inlineStr">
        <is>
          <t>←</t>
        </is>
      </c>
      <c r="S236" s="857" t="inlineStr">
        <is>
          <t>←</t>
        </is>
      </c>
      <c r="T236" s="857" t="inlineStr">
        <is>
          <t>←</t>
        </is>
      </c>
      <c r="U236" s="857" t="inlineStr">
        <is>
          <t>←</t>
        </is>
      </c>
      <c r="V236" s="857" t="inlineStr">
        <is>
          <t>←</t>
        </is>
      </c>
    </row>
    <row r="237">
      <c r="A237" s="857" t="inlineStr">
        <is>
          <t>私大文系|世界史|標準|家</t>
        </is>
      </c>
      <c r="B237" s="857" t="inlineStr">
        <is>
          <t>私大文系</t>
        </is>
      </c>
      <c r="C237" s="857" t="inlineStr">
        <is>
          <t>世界史</t>
        </is>
      </c>
      <c r="D237" s="857" t="inlineStr">
        <is>
          <t>標準</t>
        </is>
      </c>
      <c r="E237" s="857" t="inlineStr">
        <is>
          <t>家</t>
        </is>
      </c>
      <c r="F237" s="857" t="inlineStr">
        <is>
          <t>【家】世界史一問一答【完全版】（授業の復習・5周）</t>
        </is>
      </c>
      <c r="G237" s="857" t="inlineStr">
        <is>
          <t>←</t>
        </is>
      </c>
      <c r="H237" s="857" t="inlineStr">
        <is>
          <t>←</t>
        </is>
      </c>
      <c r="I237" s="857" t="inlineStr">
        <is>
          <t>←</t>
        </is>
      </c>
      <c r="J237" s="857" t="inlineStr">
        <is>
          <t>←</t>
        </is>
      </c>
      <c r="K237" s="857" t="inlineStr">
        <is>
          <t>←</t>
        </is>
      </c>
      <c r="L237" s="857" t="inlineStr">
        <is>
          <t>←</t>
        </is>
      </c>
      <c r="M237" s="857" t="inlineStr">
        <is>
          <t>←</t>
        </is>
      </c>
      <c r="N237" s="857" t="inlineStr">
        <is>
          <t>←</t>
        </is>
      </c>
      <c r="O237" s="857" t="inlineStr">
        <is>
          <t>←</t>
        </is>
      </c>
      <c r="P237" s="857" t="inlineStr">
        <is>
          <t>←</t>
        </is>
      </c>
      <c r="Q237" s="857" t="inlineStr">
        <is>
          <t>【家】世界史一問一答【完全版】</t>
        </is>
      </c>
      <c r="R237" s="857" t="inlineStr">
        <is>
          <t>←</t>
        </is>
      </c>
      <c r="S237" s="857" t="inlineStr">
        <is>
          <t>←</t>
        </is>
      </c>
      <c r="T237" s="857" t="inlineStr">
        <is>
          <t>←</t>
        </is>
      </c>
      <c r="U237" s="857" t="inlineStr">
        <is>
          <t>【家】{志望校}過去問</t>
        </is>
      </c>
      <c r="V237" s="857" t="inlineStr">
        <is>
          <t>←</t>
        </is>
      </c>
    </row>
    <row r="238">
      <c r="A238" s="856" t="inlineStr">
        <is>
          <t>私大文系|世界史|難関|講座</t>
        </is>
      </c>
      <c r="B238" s="856" t="inlineStr">
        <is>
          <t>私大文系</t>
        </is>
      </c>
      <c r="C238" s="856" t="inlineStr">
        <is>
          <t>世界史</t>
        </is>
      </c>
      <c r="D238" s="856" t="inlineStr">
        <is>
          <t>難関</t>
        </is>
      </c>
      <c r="E238" s="856" t="inlineStr">
        <is>
          <t>講座</t>
        </is>
      </c>
      <c r="F238" s="856" t="n"/>
      <c r="G238" s="856" t="inlineStr">
        <is>
          <t>G3W　難関大世界史</t>
        </is>
      </c>
      <c r="H238" s="856" t="inlineStr">
        <is>
          <t>←</t>
        </is>
      </c>
      <c r="I238" s="856" t="inlineStr">
        <is>
          <t>←</t>
        </is>
      </c>
      <c r="J238" s="856" t="inlineStr">
        <is>
          <t>←</t>
        </is>
      </c>
      <c r="K238" s="856" t="inlineStr">
        <is>
          <t>←</t>
        </is>
      </c>
      <c r="L238" s="856" t="inlineStr">
        <is>
          <t>←</t>
        </is>
      </c>
      <c r="M238" s="856" t="inlineStr">
        <is>
          <t>←</t>
        </is>
      </c>
      <c r="N238" s="856" t="inlineStr">
        <is>
          <t>←</t>
        </is>
      </c>
      <c r="O238" s="856" t="inlineStr">
        <is>
          <t>NG3W</t>
        </is>
      </c>
      <c r="P238" s="856" t="inlineStr">
        <is>
          <t>←</t>
        </is>
      </c>
      <c r="Q238" s="856" t="inlineStr">
        <is>
          <t>G3W　難関大世界史</t>
        </is>
      </c>
      <c r="R238" s="856" t="inlineStr">
        <is>
          <t>←</t>
        </is>
      </c>
      <c r="S238" s="856" t="inlineStr">
        <is>
          <t>←</t>
        </is>
      </c>
      <c r="T238" s="856" t="inlineStr">
        <is>
          <t>←</t>
        </is>
      </c>
      <c r="U238" s="856" t="inlineStr">
        <is>
          <t>FG3W</t>
        </is>
      </c>
      <c r="V238" s="856" t="inlineStr">
        <is>
          <t>←</t>
        </is>
      </c>
    </row>
    <row r="239">
      <c r="A239" s="857" t="inlineStr">
        <is>
          <t>私大文系|世界史|難関|回</t>
        </is>
      </c>
      <c r="B239" s="857" t="inlineStr">
        <is>
          <t>私大文系</t>
        </is>
      </c>
      <c r="C239" s="857" t="inlineStr">
        <is>
          <t>世界史</t>
        </is>
      </c>
      <c r="D239" s="857" t="inlineStr">
        <is>
          <t>難関</t>
        </is>
      </c>
      <c r="E239" s="857" t="inlineStr">
        <is>
          <t>回</t>
        </is>
      </c>
      <c r="F239" s="857" t="n"/>
      <c r="G239" s="857" t="inlineStr">
        <is>
          <t>練成1</t>
        </is>
      </c>
      <c r="H239" s="857" t="inlineStr">
        <is>
          <t>練成2</t>
        </is>
      </c>
      <c r="I239" s="857" t="inlineStr">
        <is>
          <t>練成3</t>
        </is>
      </c>
      <c r="J239" s="857" t="inlineStr">
        <is>
          <t>練成4</t>
        </is>
      </c>
      <c r="K239" s="857" t="inlineStr">
        <is>
          <t>練成5</t>
        </is>
      </c>
      <c r="L239" s="857" t="inlineStr">
        <is>
          <t>練成6</t>
        </is>
      </c>
      <c r="M239" s="857" t="inlineStr">
        <is>
          <t>練成7</t>
        </is>
      </c>
      <c r="N239" s="857" t="inlineStr">
        <is>
          <t>練成8</t>
        </is>
      </c>
      <c r="O239" s="857" t="inlineStr">
        <is>
          <t>夏期1</t>
        </is>
      </c>
      <c r="P239" s="857" t="inlineStr">
        <is>
          <t>※</t>
        </is>
      </c>
      <c r="Q239" s="857" t="inlineStr">
        <is>
          <t>実戦1</t>
        </is>
      </c>
      <c r="R239" s="857" t="inlineStr">
        <is>
          <t>実戦2</t>
        </is>
      </c>
      <c r="S239" s="857" t="inlineStr">
        <is>
          <t>実戦3</t>
        </is>
      </c>
      <c r="T239" s="857" t="inlineStr">
        <is>
          <t>実戦4</t>
        </is>
      </c>
      <c r="U239" s="857" t="inlineStr">
        <is>
          <t>直前1</t>
        </is>
      </c>
      <c r="V239" s="857" t="inlineStr">
        <is>
          <t>※</t>
        </is>
      </c>
    </row>
    <row r="240">
      <c r="A240" s="857" t="inlineStr">
        <is>
          <t>私大文系|世界史|難関|塾</t>
        </is>
      </c>
      <c r="B240" s="857" t="inlineStr">
        <is>
          <t>私大文系</t>
        </is>
      </c>
      <c r="C240" s="857" t="inlineStr">
        <is>
          <t>世界史</t>
        </is>
      </c>
      <c r="D240" s="857" t="inlineStr">
        <is>
          <t>難関</t>
        </is>
      </c>
      <c r="E240" s="857" t="inlineStr">
        <is>
          <t>塾</t>
        </is>
      </c>
      <c r="F240" s="857" t="inlineStr">
        <is>
          <t>（塾の授業教材は英語・数学・国語のみ）</t>
        </is>
      </c>
      <c r="G240" s="857" t="inlineStr">
        <is>
          <t>←</t>
        </is>
      </c>
      <c r="H240" s="857" t="inlineStr">
        <is>
          <t>←</t>
        </is>
      </c>
      <c r="I240" s="857" t="inlineStr">
        <is>
          <t>←</t>
        </is>
      </c>
      <c r="J240" s="857" t="inlineStr">
        <is>
          <t>←</t>
        </is>
      </c>
      <c r="K240" s="857" t="inlineStr">
        <is>
          <t>←</t>
        </is>
      </c>
      <c r="L240" s="857" t="inlineStr">
        <is>
          <t>←</t>
        </is>
      </c>
      <c r="M240" s="857" t="inlineStr">
        <is>
          <t>←</t>
        </is>
      </c>
      <c r="N240" s="857" t="inlineStr">
        <is>
          <t>←</t>
        </is>
      </c>
      <c r="O240" s="857" t="inlineStr">
        <is>
          <t>←</t>
        </is>
      </c>
      <c r="P240" s="857" t="inlineStr">
        <is>
          <t>←</t>
        </is>
      </c>
      <c r="Q240" s="857" t="inlineStr">
        <is>
          <t>（塾の授業教材は英語・数学・国語のみ）</t>
        </is>
      </c>
      <c r="R240" s="857" t="inlineStr">
        <is>
          <t>←</t>
        </is>
      </c>
      <c r="S240" s="857" t="inlineStr">
        <is>
          <t>←</t>
        </is>
      </c>
      <c r="T240" s="857" t="inlineStr">
        <is>
          <t>←</t>
        </is>
      </c>
      <c r="U240" s="857" t="inlineStr">
        <is>
          <t>←</t>
        </is>
      </c>
      <c r="V240" s="857" t="inlineStr">
        <is>
          <t>←</t>
        </is>
      </c>
    </row>
    <row r="241">
      <c r="A241" s="857" t="inlineStr">
        <is>
          <t>私大文系|世界史|難関|家</t>
        </is>
      </c>
      <c r="B241" s="857" t="inlineStr">
        <is>
          <t>私大文系</t>
        </is>
      </c>
      <c r="C241" s="857" t="inlineStr">
        <is>
          <t>世界史</t>
        </is>
      </c>
      <c r="D241" s="857" t="inlineStr">
        <is>
          <t>難関</t>
        </is>
      </c>
      <c r="E241" s="857" t="inlineStr">
        <is>
          <t>家</t>
        </is>
      </c>
      <c r="F241" s="857" t="inlineStr">
        <is>
          <t>【家】世界史一問一答【完全版】（授業の復習・5周）</t>
        </is>
      </c>
      <c r="G241" s="857" t="inlineStr">
        <is>
          <t>←</t>
        </is>
      </c>
      <c r="H241" s="857" t="inlineStr">
        <is>
          <t>←</t>
        </is>
      </c>
      <c r="I241" s="857" t="inlineStr">
        <is>
          <t>←</t>
        </is>
      </c>
      <c r="J241" s="857" t="inlineStr">
        <is>
          <t>←</t>
        </is>
      </c>
      <c r="K241" s="857" t="inlineStr">
        <is>
          <t>←</t>
        </is>
      </c>
      <c r="L241" s="857" t="inlineStr">
        <is>
          <t>←</t>
        </is>
      </c>
      <c r="M241" s="857" t="inlineStr">
        <is>
          <t>←</t>
        </is>
      </c>
      <c r="N241" s="857" t="inlineStr">
        <is>
          <t>←</t>
        </is>
      </c>
      <c r="O241" s="857" t="inlineStr">
        <is>
          <t>←</t>
        </is>
      </c>
      <c r="P241" s="857" t="inlineStr">
        <is>
          <t>←</t>
        </is>
      </c>
      <c r="Q241" s="857" t="inlineStr">
        <is>
          <t>【家】世界史一問一答【完全版】</t>
        </is>
      </c>
      <c r="R241" s="857" t="inlineStr">
        <is>
          <t>←</t>
        </is>
      </c>
      <c r="S241" s="857" t="inlineStr">
        <is>
          <t>←</t>
        </is>
      </c>
      <c r="T241" s="857" t="inlineStr">
        <is>
          <t>←</t>
        </is>
      </c>
      <c r="U241" s="857" t="inlineStr">
        <is>
          <t>【家】{志望校}過去問</t>
        </is>
      </c>
      <c r="V241" s="857" t="inlineStr">
        <is>
          <t>←</t>
        </is>
      </c>
    </row>
    <row r="242">
      <c r="A242" s="856" t="inlineStr">
        <is>
          <t>私大文系|地理|基礎|講座</t>
        </is>
      </c>
      <c r="B242" s="856" t="inlineStr">
        <is>
          <t>私大文系</t>
        </is>
      </c>
      <c r="C242" s="856" t="inlineStr">
        <is>
          <t>地理</t>
        </is>
      </c>
      <c r="D242" s="856" t="inlineStr">
        <is>
          <t>基礎</t>
        </is>
      </c>
      <c r="E242" s="856" t="inlineStr">
        <is>
          <t>講座</t>
        </is>
      </c>
      <c r="F242" s="856" t="n"/>
      <c r="G242" s="856" t="inlineStr">
        <is>
          <t>地理探究（個別試験対策）</t>
        </is>
      </c>
      <c r="H242" s="856" t="inlineStr">
        <is>
          <t>←</t>
        </is>
      </c>
      <c r="I242" s="856" t="inlineStr">
        <is>
          <t>←</t>
        </is>
      </c>
      <c r="J242" s="856" t="inlineStr">
        <is>
          <t>←</t>
        </is>
      </c>
      <c r="K242" s="856" t="inlineStr">
        <is>
          <t>←</t>
        </is>
      </c>
      <c r="L242" s="856" t="inlineStr">
        <is>
          <t>←</t>
        </is>
      </c>
      <c r="M242" s="856" t="inlineStr">
        <is>
          <t>←</t>
        </is>
      </c>
      <c r="N242" s="856" t="inlineStr">
        <is>
          <t>←</t>
        </is>
      </c>
      <c r="O242" s="856" t="inlineStr">
        <is>
          <t>夏期講習</t>
        </is>
      </c>
      <c r="P242" s="856" t="inlineStr">
        <is>
          <t>←</t>
        </is>
      </c>
      <c r="Q242" s="856" t="inlineStr">
        <is>
          <t>地理探究（個別試験対策）</t>
        </is>
      </c>
      <c r="R242" s="856" t="inlineStr">
        <is>
          <t>←</t>
        </is>
      </c>
      <c r="S242" s="856" t="inlineStr">
        <is>
          <t>←</t>
        </is>
      </c>
      <c r="T242" s="856" t="inlineStr">
        <is>
          <t>←</t>
        </is>
      </c>
      <c r="U242" s="856" t="inlineStr">
        <is>
          <t>直前講習</t>
        </is>
      </c>
      <c r="V242" s="856" t="inlineStr">
        <is>
          <t>←</t>
        </is>
      </c>
    </row>
    <row r="243">
      <c r="A243" s="857" t="inlineStr">
        <is>
          <t>私大文系|地理|基礎|回</t>
        </is>
      </c>
      <c r="B243" s="857" t="inlineStr">
        <is>
          <t>私大文系</t>
        </is>
      </c>
      <c r="C243" s="857" t="inlineStr">
        <is>
          <t>地理</t>
        </is>
      </c>
      <c r="D243" s="857" t="inlineStr">
        <is>
          <t>基礎</t>
        </is>
      </c>
      <c r="E243" s="857" t="inlineStr">
        <is>
          <t>回</t>
        </is>
      </c>
      <c r="F243" s="857" t="n"/>
      <c r="G243" s="857" t="inlineStr">
        <is>
          <t>練成1</t>
        </is>
      </c>
      <c r="H243" s="857" t="inlineStr">
        <is>
          <t>練成2</t>
        </is>
      </c>
      <c r="I243" s="857" t="inlineStr">
        <is>
          <t>練成3</t>
        </is>
      </c>
      <c r="J243" s="857" t="inlineStr">
        <is>
          <t>練成4</t>
        </is>
      </c>
      <c r="K243" s="857" t="inlineStr">
        <is>
          <t>練成5</t>
        </is>
      </c>
      <c r="L243" s="857" t="inlineStr">
        <is>
          <t>練成6</t>
        </is>
      </c>
      <c r="M243" s="857" t="inlineStr">
        <is>
          <t>練成7</t>
        </is>
      </c>
      <c r="N243" s="857" t="inlineStr">
        <is>
          <t>練成8</t>
        </is>
      </c>
      <c r="O243" s="857" t="inlineStr">
        <is>
          <t>夏期1</t>
        </is>
      </c>
      <c r="P243" s="857" t="inlineStr">
        <is>
          <t>夏期2</t>
        </is>
      </c>
      <c r="Q243" s="857" t="inlineStr">
        <is>
          <t>実戦1</t>
        </is>
      </c>
      <c r="R243" s="857" t="inlineStr">
        <is>
          <t>実戦2</t>
        </is>
      </c>
      <c r="S243" s="857" t="inlineStr">
        <is>
          <t>実戦3</t>
        </is>
      </c>
      <c r="T243" s="857" t="inlineStr">
        <is>
          <t>実戦4</t>
        </is>
      </c>
      <c r="U243" s="857" t="inlineStr">
        <is>
          <t>直前1</t>
        </is>
      </c>
      <c r="V243" s="857" t="inlineStr">
        <is>
          <t>※</t>
        </is>
      </c>
    </row>
    <row r="244">
      <c r="A244" s="857" t="inlineStr">
        <is>
          <t>私大文系|地理|基礎|塾</t>
        </is>
      </c>
      <c r="B244" s="857" t="inlineStr">
        <is>
          <t>私大文系</t>
        </is>
      </c>
      <c r="C244" s="857" t="inlineStr">
        <is>
          <t>地理</t>
        </is>
      </c>
      <c r="D244" s="857" t="inlineStr">
        <is>
          <t>基礎</t>
        </is>
      </c>
      <c r="E244" s="857" t="inlineStr">
        <is>
          <t>塾</t>
        </is>
      </c>
      <c r="F244" s="857" t="inlineStr">
        <is>
          <t>（塾の授業教材は英語・数学・国語のみ）</t>
        </is>
      </c>
      <c r="G244" s="857" t="inlineStr">
        <is>
          <t>←</t>
        </is>
      </c>
      <c r="H244" s="857" t="inlineStr">
        <is>
          <t>←</t>
        </is>
      </c>
      <c r="I244" s="857" t="inlineStr">
        <is>
          <t>←</t>
        </is>
      </c>
      <c r="J244" s="857" t="inlineStr">
        <is>
          <t>←</t>
        </is>
      </c>
      <c r="K244" s="857" t="inlineStr">
        <is>
          <t>←</t>
        </is>
      </c>
      <c r="L244" s="857" t="inlineStr">
        <is>
          <t>←</t>
        </is>
      </c>
      <c r="M244" s="857" t="inlineStr">
        <is>
          <t>←</t>
        </is>
      </c>
      <c r="N244" s="857" t="inlineStr">
        <is>
          <t>←</t>
        </is>
      </c>
      <c r="O244" s="857" t="inlineStr">
        <is>
          <t>←</t>
        </is>
      </c>
      <c r="P244" s="857" t="inlineStr">
        <is>
          <t>←</t>
        </is>
      </c>
      <c r="Q244" s="857" t="inlineStr">
        <is>
          <t>（塾の授業教材は英語・数学・国語のみ）</t>
        </is>
      </c>
      <c r="R244" s="857" t="inlineStr">
        <is>
          <t>←</t>
        </is>
      </c>
      <c r="S244" s="857" t="inlineStr">
        <is>
          <t>←</t>
        </is>
      </c>
      <c r="T244" s="857" t="inlineStr">
        <is>
          <t>←</t>
        </is>
      </c>
      <c r="U244" s="857" t="inlineStr">
        <is>
          <t>←</t>
        </is>
      </c>
      <c r="V244" s="857" t="inlineStr">
        <is>
          <t>←</t>
        </is>
      </c>
    </row>
    <row r="245">
      <c r="A245" s="857" t="inlineStr">
        <is>
          <t>私大文系|地理|基礎|家</t>
        </is>
      </c>
      <c r="B245" s="857" t="inlineStr">
        <is>
          <t>私大文系</t>
        </is>
      </c>
      <c r="C245" s="857" t="inlineStr">
        <is>
          <t>地理</t>
        </is>
      </c>
      <c r="D245" s="857" t="inlineStr">
        <is>
          <t>基礎</t>
        </is>
      </c>
      <c r="E245" s="857" t="inlineStr">
        <is>
          <t>家</t>
        </is>
      </c>
      <c r="F245" s="857" t="inlineStr">
        <is>
          <t>【家】地理総合，地理探究 実況中継（授業の復習）</t>
        </is>
      </c>
      <c r="G245" s="857" t="inlineStr">
        <is>
          <t>←</t>
        </is>
      </c>
      <c r="H245" s="857" t="inlineStr">
        <is>
          <t>←</t>
        </is>
      </c>
      <c r="I245" s="857" t="inlineStr">
        <is>
          <t>←</t>
        </is>
      </c>
      <c r="J245" s="857" t="inlineStr">
        <is>
          <t>←</t>
        </is>
      </c>
      <c r="K245" s="857" t="inlineStr">
        <is>
          <t>←</t>
        </is>
      </c>
      <c r="L245" s="857" t="inlineStr">
        <is>
          <t>←</t>
        </is>
      </c>
      <c r="M245" s="857" t="inlineStr">
        <is>
          <t>←</t>
        </is>
      </c>
      <c r="N245" s="857" t="inlineStr">
        <is>
          <t>←</t>
        </is>
      </c>
      <c r="O245" s="857" t="inlineStr">
        <is>
          <t>←</t>
        </is>
      </c>
      <c r="P245" s="857" t="inlineStr">
        <is>
          <t>←</t>
        </is>
      </c>
      <c r="Q245" s="857" t="inlineStr">
        <is>
          <t>【家】地理の問題集で演習</t>
        </is>
      </c>
      <c r="R245" s="857" t="inlineStr">
        <is>
          <t>←</t>
        </is>
      </c>
      <c r="S245" s="857" t="inlineStr">
        <is>
          <t>←</t>
        </is>
      </c>
      <c r="T245" s="857" t="inlineStr">
        <is>
          <t>←</t>
        </is>
      </c>
      <c r="U245" s="857" t="inlineStr">
        <is>
          <t>【家】{志望校}過去問</t>
        </is>
      </c>
      <c r="V245" s="857" t="inlineStr">
        <is>
          <t>←</t>
        </is>
      </c>
    </row>
    <row r="246">
      <c r="A246" s="856" t="inlineStr">
        <is>
          <t>私大文系|地理|標準|講座</t>
        </is>
      </c>
      <c r="B246" s="856" t="inlineStr">
        <is>
          <t>私大文系</t>
        </is>
      </c>
      <c r="C246" s="856" t="inlineStr">
        <is>
          <t>地理</t>
        </is>
      </c>
      <c r="D246" s="856" t="inlineStr">
        <is>
          <t>標準</t>
        </is>
      </c>
      <c r="E246" s="856" t="inlineStr">
        <is>
          <t>講座</t>
        </is>
      </c>
      <c r="F246" s="856" t="n"/>
      <c r="G246" s="856" t="inlineStr">
        <is>
          <t>地理探究（個別試験対策）</t>
        </is>
      </c>
      <c r="H246" s="856" t="inlineStr">
        <is>
          <t>←</t>
        </is>
      </c>
      <c r="I246" s="856" t="inlineStr">
        <is>
          <t>←</t>
        </is>
      </c>
      <c r="J246" s="856" t="inlineStr">
        <is>
          <t>←</t>
        </is>
      </c>
      <c r="K246" s="856" t="inlineStr">
        <is>
          <t>←</t>
        </is>
      </c>
      <c r="L246" s="856" t="inlineStr">
        <is>
          <t>←</t>
        </is>
      </c>
      <c r="M246" s="856" t="inlineStr">
        <is>
          <t>←</t>
        </is>
      </c>
      <c r="N246" s="856" t="inlineStr">
        <is>
          <t>←</t>
        </is>
      </c>
      <c r="O246" s="856" t="inlineStr">
        <is>
          <t>夏期講習</t>
        </is>
      </c>
      <c r="P246" s="856" t="inlineStr">
        <is>
          <t>←</t>
        </is>
      </c>
      <c r="Q246" s="856" t="inlineStr">
        <is>
          <t>地理探究（個別試験対策）</t>
        </is>
      </c>
      <c r="R246" s="856" t="inlineStr">
        <is>
          <t>←</t>
        </is>
      </c>
      <c r="S246" s="856" t="inlineStr">
        <is>
          <t>←</t>
        </is>
      </c>
      <c r="T246" s="856" t="inlineStr">
        <is>
          <t>←</t>
        </is>
      </c>
      <c r="U246" s="856" t="inlineStr">
        <is>
          <t>直前講習</t>
        </is>
      </c>
      <c r="V246" s="856" t="inlineStr">
        <is>
          <t>←</t>
        </is>
      </c>
    </row>
    <row r="247">
      <c r="A247" s="857" t="inlineStr">
        <is>
          <t>私大文系|地理|標準|回</t>
        </is>
      </c>
      <c r="B247" s="857" t="inlineStr">
        <is>
          <t>私大文系</t>
        </is>
      </c>
      <c r="C247" s="857" t="inlineStr">
        <is>
          <t>地理</t>
        </is>
      </c>
      <c r="D247" s="857" t="inlineStr">
        <is>
          <t>標準</t>
        </is>
      </c>
      <c r="E247" s="857" t="inlineStr">
        <is>
          <t>回</t>
        </is>
      </c>
      <c r="F247" s="857" t="n"/>
      <c r="G247" s="857" t="inlineStr">
        <is>
          <t>練成1</t>
        </is>
      </c>
      <c r="H247" s="857" t="inlineStr">
        <is>
          <t>練成2</t>
        </is>
      </c>
      <c r="I247" s="857" t="inlineStr">
        <is>
          <t>練成3</t>
        </is>
      </c>
      <c r="J247" s="857" t="inlineStr">
        <is>
          <t>練成4</t>
        </is>
      </c>
      <c r="K247" s="857" t="inlineStr">
        <is>
          <t>練成5</t>
        </is>
      </c>
      <c r="L247" s="857" t="inlineStr">
        <is>
          <t>練成6</t>
        </is>
      </c>
      <c r="M247" s="857" t="inlineStr">
        <is>
          <t>練成7</t>
        </is>
      </c>
      <c r="N247" s="857" t="inlineStr">
        <is>
          <t>練成8</t>
        </is>
      </c>
      <c r="O247" s="857" t="inlineStr">
        <is>
          <t>夏期1</t>
        </is>
      </c>
      <c r="P247" s="857" t="inlineStr">
        <is>
          <t>夏期2</t>
        </is>
      </c>
      <c r="Q247" s="857" t="inlineStr">
        <is>
          <t>実戦1</t>
        </is>
      </c>
      <c r="R247" s="857" t="inlineStr">
        <is>
          <t>実戦2</t>
        </is>
      </c>
      <c r="S247" s="857" t="inlineStr">
        <is>
          <t>実戦3</t>
        </is>
      </c>
      <c r="T247" s="857" t="inlineStr">
        <is>
          <t>実戦4</t>
        </is>
      </c>
      <c r="U247" s="857" t="inlineStr">
        <is>
          <t>直前1</t>
        </is>
      </c>
      <c r="V247" s="857" t="inlineStr">
        <is>
          <t>※</t>
        </is>
      </c>
    </row>
    <row r="248">
      <c r="A248" s="857" t="inlineStr">
        <is>
          <t>私大文系|地理|標準|塾</t>
        </is>
      </c>
      <c r="B248" s="857" t="inlineStr">
        <is>
          <t>私大文系</t>
        </is>
      </c>
      <c r="C248" s="857" t="inlineStr">
        <is>
          <t>地理</t>
        </is>
      </c>
      <c r="D248" s="857" t="inlineStr">
        <is>
          <t>標準</t>
        </is>
      </c>
      <c r="E248" s="857" t="inlineStr">
        <is>
          <t>塾</t>
        </is>
      </c>
      <c r="F248" s="857" t="inlineStr">
        <is>
          <t>（塾の授業教材は英語・数学・国語のみ）</t>
        </is>
      </c>
      <c r="G248" s="857" t="inlineStr">
        <is>
          <t>←</t>
        </is>
      </c>
      <c r="H248" s="857" t="inlineStr">
        <is>
          <t>←</t>
        </is>
      </c>
      <c r="I248" s="857" t="inlineStr">
        <is>
          <t>←</t>
        </is>
      </c>
      <c r="J248" s="857" t="inlineStr">
        <is>
          <t>←</t>
        </is>
      </c>
      <c r="K248" s="857" t="inlineStr">
        <is>
          <t>←</t>
        </is>
      </c>
      <c r="L248" s="857" t="inlineStr">
        <is>
          <t>←</t>
        </is>
      </c>
      <c r="M248" s="857" t="inlineStr">
        <is>
          <t>←</t>
        </is>
      </c>
      <c r="N248" s="857" t="inlineStr">
        <is>
          <t>←</t>
        </is>
      </c>
      <c r="O248" s="857" t="inlineStr">
        <is>
          <t>←</t>
        </is>
      </c>
      <c r="P248" s="857" t="inlineStr">
        <is>
          <t>←</t>
        </is>
      </c>
      <c r="Q248" s="857" t="inlineStr">
        <is>
          <t>（塾の授業教材は英語・数学・国語のみ）</t>
        </is>
      </c>
      <c r="R248" s="857" t="inlineStr">
        <is>
          <t>←</t>
        </is>
      </c>
      <c r="S248" s="857" t="inlineStr">
        <is>
          <t>←</t>
        </is>
      </c>
      <c r="T248" s="857" t="inlineStr">
        <is>
          <t>←</t>
        </is>
      </c>
      <c r="U248" s="857" t="inlineStr">
        <is>
          <t>←</t>
        </is>
      </c>
      <c r="V248" s="857" t="inlineStr">
        <is>
          <t>←</t>
        </is>
      </c>
    </row>
    <row r="249">
      <c r="A249" s="857" t="inlineStr">
        <is>
          <t>私大文系|地理|標準|家</t>
        </is>
      </c>
      <c r="B249" s="857" t="inlineStr">
        <is>
          <t>私大文系</t>
        </is>
      </c>
      <c r="C249" s="857" t="inlineStr">
        <is>
          <t>地理</t>
        </is>
      </c>
      <c r="D249" s="857" t="inlineStr">
        <is>
          <t>標準</t>
        </is>
      </c>
      <c r="E249" s="857" t="inlineStr">
        <is>
          <t>家</t>
        </is>
      </c>
      <c r="F249" s="857" t="inlineStr">
        <is>
          <t>【家】地理総合，地理探究 実況中継（授業の復習）</t>
        </is>
      </c>
      <c r="G249" s="857" t="inlineStr">
        <is>
          <t>←</t>
        </is>
      </c>
      <c r="H249" s="857" t="inlineStr">
        <is>
          <t>←</t>
        </is>
      </c>
      <c r="I249" s="857" t="inlineStr">
        <is>
          <t>←</t>
        </is>
      </c>
      <c r="J249" s="857" t="inlineStr">
        <is>
          <t>←</t>
        </is>
      </c>
      <c r="K249" s="857" t="inlineStr">
        <is>
          <t>←</t>
        </is>
      </c>
      <c r="L249" s="857" t="inlineStr">
        <is>
          <t>←</t>
        </is>
      </c>
      <c r="M249" s="857" t="inlineStr">
        <is>
          <t>←</t>
        </is>
      </c>
      <c r="N249" s="857" t="inlineStr">
        <is>
          <t>←</t>
        </is>
      </c>
      <c r="O249" s="857" t="inlineStr">
        <is>
          <t>←</t>
        </is>
      </c>
      <c r="P249" s="857" t="inlineStr">
        <is>
          <t>←</t>
        </is>
      </c>
      <c r="Q249" s="857" t="inlineStr">
        <is>
          <t>【家】地理の問題集で演習</t>
        </is>
      </c>
      <c r="R249" s="857" t="inlineStr">
        <is>
          <t>←</t>
        </is>
      </c>
      <c r="S249" s="857" t="inlineStr">
        <is>
          <t>←</t>
        </is>
      </c>
      <c r="T249" s="857" t="inlineStr">
        <is>
          <t>←</t>
        </is>
      </c>
      <c r="U249" s="857" t="inlineStr">
        <is>
          <t>【家】{志望校}過去問</t>
        </is>
      </c>
      <c r="V249" s="857" t="inlineStr">
        <is>
          <t>←</t>
        </is>
      </c>
    </row>
    <row r="250">
      <c r="A250" s="856" t="inlineStr">
        <is>
          <t>私大文系|地理|難関|講座</t>
        </is>
      </c>
      <c r="B250" s="856" t="inlineStr">
        <is>
          <t>私大文系</t>
        </is>
      </c>
      <c r="C250" s="856" t="inlineStr">
        <is>
          <t>地理</t>
        </is>
      </c>
      <c r="D250" s="856" t="inlineStr">
        <is>
          <t>難関</t>
        </is>
      </c>
      <c r="E250" s="856" t="inlineStr">
        <is>
          <t>講座</t>
        </is>
      </c>
      <c r="F250" s="856" t="n"/>
      <c r="G250" s="856" t="inlineStr">
        <is>
          <t>地理探究（個別試験対策）</t>
        </is>
      </c>
      <c r="H250" s="856" t="inlineStr">
        <is>
          <t>←</t>
        </is>
      </c>
      <c r="I250" s="856" t="inlineStr">
        <is>
          <t>←</t>
        </is>
      </c>
      <c r="J250" s="856" t="inlineStr">
        <is>
          <t>←</t>
        </is>
      </c>
      <c r="K250" s="856" t="inlineStr">
        <is>
          <t>←</t>
        </is>
      </c>
      <c r="L250" s="856" t="inlineStr">
        <is>
          <t>←</t>
        </is>
      </c>
      <c r="M250" s="856" t="inlineStr">
        <is>
          <t>←</t>
        </is>
      </c>
      <c r="N250" s="856" t="inlineStr">
        <is>
          <t>←</t>
        </is>
      </c>
      <c r="O250" s="856" t="inlineStr">
        <is>
          <t>夏期講習</t>
        </is>
      </c>
      <c r="P250" s="856" t="inlineStr">
        <is>
          <t>←</t>
        </is>
      </c>
      <c r="Q250" s="856" t="inlineStr">
        <is>
          <t>地理探究（個別試験対策）</t>
        </is>
      </c>
      <c r="R250" s="856" t="inlineStr">
        <is>
          <t>←</t>
        </is>
      </c>
      <c r="S250" s="856" t="inlineStr">
        <is>
          <t>←</t>
        </is>
      </c>
      <c r="T250" s="856" t="inlineStr">
        <is>
          <t>←</t>
        </is>
      </c>
      <c r="U250" s="856" t="inlineStr">
        <is>
          <t>直前講習</t>
        </is>
      </c>
      <c r="V250" s="856" t="inlineStr">
        <is>
          <t>←</t>
        </is>
      </c>
    </row>
    <row r="251">
      <c r="A251" s="857" t="inlineStr">
        <is>
          <t>私大文系|地理|難関|回</t>
        </is>
      </c>
      <c r="B251" s="857" t="inlineStr">
        <is>
          <t>私大文系</t>
        </is>
      </c>
      <c r="C251" s="857" t="inlineStr">
        <is>
          <t>地理</t>
        </is>
      </c>
      <c r="D251" s="857" t="inlineStr">
        <is>
          <t>難関</t>
        </is>
      </c>
      <c r="E251" s="857" t="inlineStr">
        <is>
          <t>回</t>
        </is>
      </c>
      <c r="F251" s="857" t="n"/>
      <c r="G251" s="857" t="inlineStr">
        <is>
          <t>練成1</t>
        </is>
      </c>
      <c r="H251" s="857" t="inlineStr">
        <is>
          <t>練成2</t>
        </is>
      </c>
      <c r="I251" s="857" t="inlineStr">
        <is>
          <t>練成3</t>
        </is>
      </c>
      <c r="J251" s="857" t="inlineStr">
        <is>
          <t>練成4</t>
        </is>
      </c>
      <c r="K251" s="857" t="inlineStr">
        <is>
          <t>練成5</t>
        </is>
      </c>
      <c r="L251" s="857" t="inlineStr">
        <is>
          <t>練成6</t>
        </is>
      </c>
      <c r="M251" s="857" t="inlineStr">
        <is>
          <t>練成7</t>
        </is>
      </c>
      <c r="N251" s="857" t="inlineStr">
        <is>
          <t>練成8</t>
        </is>
      </c>
      <c r="O251" s="857" t="inlineStr">
        <is>
          <t>夏期1</t>
        </is>
      </c>
      <c r="P251" s="857" t="inlineStr">
        <is>
          <t>夏期2</t>
        </is>
      </c>
      <c r="Q251" s="857" t="inlineStr">
        <is>
          <t>実戦1</t>
        </is>
      </c>
      <c r="R251" s="857" t="inlineStr">
        <is>
          <t>実戦2</t>
        </is>
      </c>
      <c r="S251" s="857" t="inlineStr">
        <is>
          <t>実戦3</t>
        </is>
      </c>
      <c r="T251" s="857" t="inlineStr">
        <is>
          <t>実戦4</t>
        </is>
      </c>
      <c r="U251" s="857" t="inlineStr">
        <is>
          <t>直前1</t>
        </is>
      </c>
      <c r="V251" s="857" t="inlineStr">
        <is>
          <t>※</t>
        </is>
      </c>
    </row>
    <row r="252">
      <c r="A252" s="857" t="inlineStr">
        <is>
          <t>私大文系|地理|難関|塾</t>
        </is>
      </c>
      <c r="B252" s="857" t="inlineStr">
        <is>
          <t>私大文系</t>
        </is>
      </c>
      <c r="C252" s="857" t="inlineStr">
        <is>
          <t>地理</t>
        </is>
      </c>
      <c r="D252" s="857" t="inlineStr">
        <is>
          <t>難関</t>
        </is>
      </c>
      <c r="E252" s="857" t="inlineStr">
        <is>
          <t>塾</t>
        </is>
      </c>
      <c r="F252" s="857" t="inlineStr">
        <is>
          <t>（塾の授業教材は英語・数学・国語のみ）</t>
        </is>
      </c>
      <c r="G252" s="857" t="inlineStr">
        <is>
          <t>←</t>
        </is>
      </c>
      <c r="H252" s="857" t="inlineStr">
        <is>
          <t>←</t>
        </is>
      </c>
      <c r="I252" s="857" t="inlineStr">
        <is>
          <t>←</t>
        </is>
      </c>
      <c r="J252" s="857" t="inlineStr">
        <is>
          <t>←</t>
        </is>
      </c>
      <c r="K252" s="857" t="inlineStr">
        <is>
          <t>←</t>
        </is>
      </c>
      <c r="L252" s="857" t="inlineStr">
        <is>
          <t>←</t>
        </is>
      </c>
      <c r="M252" s="857" t="inlineStr">
        <is>
          <t>←</t>
        </is>
      </c>
      <c r="N252" s="857" t="inlineStr">
        <is>
          <t>←</t>
        </is>
      </c>
      <c r="O252" s="857" t="inlineStr">
        <is>
          <t>←</t>
        </is>
      </c>
      <c r="P252" s="857" t="inlineStr">
        <is>
          <t>←</t>
        </is>
      </c>
      <c r="Q252" s="857" t="inlineStr">
        <is>
          <t>（塾の授業教材は英語・数学・国語のみ）</t>
        </is>
      </c>
      <c r="R252" s="857" t="inlineStr">
        <is>
          <t>←</t>
        </is>
      </c>
      <c r="S252" s="857" t="inlineStr">
        <is>
          <t>←</t>
        </is>
      </c>
      <c r="T252" s="857" t="inlineStr">
        <is>
          <t>←</t>
        </is>
      </c>
      <c r="U252" s="857" t="inlineStr">
        <is>
          <t>←</t>
        </is>
      </c>
      <c r="V252" s="857" t="inlineStr">
        <is>
          <t>←</t>
        </is>
      </c>
    </row>
    <row r="253">
      <c r="A253" s="857" t="inlineStr">
        <is>
          <t>私大文系|地理|難関|家</t>
        </is>
      </c>
      <c r="B253" s="857" t="inlineStr">
        <is>
          <t>私大文系</t>
        </is>
      </c>
      <c r="C253" s="857" t="inlineStr">
        <is>
          <t>地理</t>
        </is>
      </c>
      <c r="D253" s="857" t="inlineStr">
        <is>
          <t>難関</t>
        </is>
      </c>
      <c r="E253" s="857" t="inlineStr">
        <is>
          <t>家</t>
        </is>
      </c>
      <c r="F253" s="857" t="inlineStr">
        <is>
          <t>【家】地理総合，地理探究 実況中継（授業の復習）</t>
        </is>
      </c>
      <c r="G253" s="857" t="inlineStr">
        <is>
          <t>←</t>
        </is>
      </c>
      <c r="H253" s="857" t="inlineStr">
        <is>
          <t>←</t>
        </is>
      </c>
      <c r="I253" s="857" t="inlineStr">
        <is>
          <t>←</t>
        </is>
      </c>
      <c r="J253" s="857" t="inlineStr">
        <is>
          <t>←</t>
        </is>
      </c>
      <c r="K253" s="857" t="inlineStr">
        <is>
          <t>←</t>
        </is>
      </c>
      <c r="L253" s="857" t="inlineStr">
        <is>
          <t>←</t>
        </is>
      </c>
      <c r="M253" s="857" t="inlineStr">
        <is>
          <t>←</t>
        </is>
      </c>
      <c r="N253" s="857" t="inlineStr">
        <is>
          <t>←</t>
        </is>
      </c>
      <c r="O253" s="857" t="inlineStr">
        <is>
          <t>←</t>
        </is>
      </c>
      <c r="P253" s="857" t="inlineStr">
        <is>
          <t>←</t>
        </is>
      </c>
      <c r="Q253" s="857" t="inlineStr">
        <is>
          <t>【家】地理の問題集で演習</t>
        </is>
      </c>
      <c r="R253" s="857" t="inlineStr">
        <is>
          <t>←</t>
        </is>
      </c>
      <c r="S253" s="857" t="inlineStr">
        <is>
          <t>←</t>
        </is>
      </c>
      <c r="T253" s="857" t="inlineStr">
        <is>
          <t>←</t>
        </is>
      </c>
      <c r="U253" s="857" t="inlineStr">
        <is>
          <t>【家】{志望校}過去問</t>
        </is>
      </c>
      <c r="V253" s="857" t="inlineStr">
        <is>
          <t>←</t>
        </is>
      </c>
    </row>
    <row r="254">
      <c r="A254" s="856" t="inlineStr">
        <is>
          <t>私大理系|英語|基礎|講座</t>
        </is>
      </c>
      <c r="B254" s="856" t="inlineStr">
        <is>
          <t>私大理系</t>
        </is>
      </c>
      <c r="C254" s="856" t="inlineStr">
        <is>
          <t>英語</t>
        </is>
      </c>
      <c r="D254" s="856" t="inlineStr">
        <is>
          <t>基礎</t>
        </is>
      </c>
      <c r="E254" s="856" t="inlineStr">
        <is>
          <t>講座</t>
        </is>
      </c>
      <c r="F254" s="856" t="n"/>
      <c r="G254" s="856" t="inlineStr">
        <is>
          <t>基礎英語（文法・構文）</t>
        </is>
      </c>
      <c r="H254" s="856" t="inlineStr">
        <is>
          <t>←</t>
        </is>
      </c>
      <c r="I254" s="856" t="inlineStr">
        <is>
          <t>←</t>
        </is>
      </c>
      <c r="J254" s="856" t="inlineStr">
        <is>
          <t>←</t>
        </is>
      </c>
      <c r="K254" s="856" t="inlineStr">
        <is>
          <t>←</t>
        </is>
      </c>
      <c r="L254" s="856" t="inlineStr">
        <is>
          <t>←</t>
        </is>
      </c>
      <c r="M254" s="856" t="inlineStr">
        <is>
          <t>←</t>
        </is>
      </c>
      <c r="N254" s="856" t="inlineStr">
        <is>
          <t>←</t>
        </is>
      </c>
      <c r="O254" s="856" t="inlineStr">
        <is>
          <t>夏期講習</t>
        </is>
      </c>
      <c r="P254" s="856" t="inlineStr">
        <is>
          <t>←</t>
        </is>
      </c>
      <c r="Q254" s="856" t="inlineStr">
        <is>
          <t>基礎英語（文法・構文）</t>
        </is>
      </c>
      <c r="R254" s="856" t="inlineStr">
        <is>
          <t>←</t>
        </is>
      </c>
      <c r="S254" s="856" t="inlineStr">
        <is>
          <t>←</t>
        </is>
      </c>
      <c r="T254" s="856" t="inlineStr">
        <is>
          <t>←</t>
        </is>
      </c>
      <c r="U254" s="856" t="inlineStr">
        <is>
          <t>直前講習</t>
        </is>
      </c>
      <c r="V254" s="856" t="inlineStr">
        <is>
          <t>←</t>
        </is>
      </c>
    </row>
    <row r="255">
      <c r="A255" s="857" t="inlineStr">
        <is>
          <t>私大理系|英語|基礎|回</t>
        </is>
      </c>
      <c r="B255" s="857" t="inlineStr">
        <is>
          <t>私大理系</t>
        </is>
      </c>
      <c r="C255" s="857" t="inlineStr">
        <is>
          <t>英語</t>
        </is>
      </c>
      <c r="D255" s="857" t="inlineStr">
        <is>
          <t>基礎</t>
        </is>
      </c>
      <c r="E255" s="857" t="inlineStr">
        <is>
          <t>回</t>
        </is>
      </c>
      <c r="F255" s="857" t="n"/>
      <c r="G255" s="857" t="inlineStr">
        <is>
          <t>練成1</t>
        </is>
      </c>
      <c r="H255" s="857" t="inlineStr">
        <is>
          <t>練成2</t>
        </is>
      </c>
      <c r="I255" s="857" t="inlineStr">
        <is>
          <t>練成3</t>
        </is>
      </c>
      <c r="J255" s="857" t="inlineStr">
        <is>
          <t>練成4</t>
        </is>
      </c>
      <c r="K255" s="857" t="inlineStr">
        <is>
          <t>練成5</t>
        </is>
      </c>
      <c r="L255" s="857" t="inlineStr">
        <is>
          <t>練成6</t>
        </is>
      </c>
      <c r="M255" s="857" t="inlineStr">
        <is>
          <t>練成7</t>
        </is>
      </c>
      <c r="N255" s="857" t="inlineStr">
        <is>
          <t>練成8</t>
        </is>
      </c>
      <c r="O255" s="857" t="inlineStr">
        <is>
          <t>夏期1</t>
        </is>
      </c>
      <c r="P255" s="857" t="inlineStr">
        <is>
          <t>夏期2</t>
        </is>
      </c>
      <c r="Q255" s="857" t="inlineStr">
        <is>
          <t>実戦1</t>
        </is>
      </c>
      <c r="R255" s="857" t="inlineStr">
        <is>
          <t>実戦2</t>
        </is>
      </c>
      <c r="S255" s="857" t="inlineStr">
        <is>
          <t>実戦3</t>
        </is>
      </c>
      <c r="T255" s="857" t="inlineStr">
        <is>
          <t>実戦4</t>
        </is>
      </c>
      <c r="U255" s="857" t="inlineStr">
        <is>
          <t>直前1</t>
        </is>
      </c>
      <c r="V255" s="857" t="inlineStr">
        <is>
          <t>※</t>
        </is>
      </c>
    </row>
    <row r="256">
      <c r="A256" s="857" t="inlineStr">
        <is>
          <t>私大理系|英語|基礎|塾</t>
        </is>
      </c>
      <c r="B256" s="857" t="inlineStr">
        <is>
          <t>私大理系</t>
        </is>
      </c>
      <c r="C256" s="857" t="inlineStr">
        <is>
          <t>英語</t>
        </is>
      </c>
      <c r="D256" s="857" t="inlineStr">
        <is>
          <t>基礎</t>
        </is>
      </c>
      <c r="E256" s="857" t="inlineStr">
        <is>
          <t>塾</t>
        </is>
      </c>
      <c r="F256" s="857" t="inlineStr">
        <is>
          <t>【塾】大岩のいちばんはじめの英文法【超基礎文法編】</t>
        </is>
      </c>
      <c r="G256" s="857" t="inlineStr">
        <is>
          <t>←</t>
        </is>
      </c>
      <c r="H256" s="857" t="inlineStr">
        <is>
          <t>←</t>
        </is>
      </c>
      <c r="I256" s="857" t="inlineStr">
        <is>
          <t>←</t>
        </is>
      </c>
      <c r="J256" s="857" t="inlineStr">
        <is>
          <t>【塾】英文法・語法 Vintage＋入門英文解釈の技術70</t>
        </is>
      </c>
      <c r="K256" s="857" t="inlineStr">
        <is>
          <t>←</t>
        </is>
      </c>
      <c r="L256" s="857" t="inlineStr">
        <is>
          <t>←</t>
        </is>
      </c>
      <c r="M256" s="857" t="inlineStr">
        <is>
          <t>←</t>
        </is>
      </c>
      <c r="N256" s="857" t="inlineStr">
        <is>
          <t>←</t>
        </is>
      </c>
      <c r="O256" s="857" t="inlineStr">
        <is>
          <t>←</t>
        </is>
      </c>
      <c r="P256" s="857" t="inlineStr">
        <is>
          <t>←</t>
        </is>
      </c>
      <c r="Q256" s="857" t="inlineStr">
        <is>
          <t>【塾】やっておきたい英語長文300</t>
        </is>
      </c>
      <c r="R256" s="857" t="inlineStr">
        <is>
          <t>←</t>
        </is>
      </c>
      <c r="S256" s="857" t="inlineStr">
        <is>
          <t>←</t>
        </is>
      </c>
      <c r="T256" s="857" t="inlineStr">
        <is>
          <t>←</t>
        </is>
      </c>
      <c r="U256" s="857" t="inlineStr">
        <is>
          <t>【塾】{志望校}過去問</t>
        </is>
      </c>
      <c r="V256" s="857" t="inlineStr">
        <is>
          <t>←</t>
        </is>
      </c>
    </row>
    <row r="257">
      <c r="A257" s="857" t="inlineStr">
        <is>
          <t>私大理系|英語|基礎|家</t>
        </is>
      </c>
      <c r="B257" s="857" t="inlineStr">
        <is>
          <t>私大理系</t>
        </is>
      </c>
      <c r="C257" s="857" t="inlineStr">
        <is>
          <t>英語</t>
        </is>
      </c>
      <c r="D257" s="857" t="inlineStr">
        <is>
          <t>基礎</t>
        </is>
      </c>
      <c r="E257" s="857" t="inlineStr">
        <is>
          <t>家</t>
        </is>
      </c>
      <c r="F257" s="857" t="inlineStr">
        <is>
          <t>【家】ターゲット1400（毎週テスト）</t>
        </is>
      </c>
      <c r="G257" s="857" t="inlineStr">
        <is>
          <t>←</t>
        </is>
      </c>
      <c r="H257" s="857" t="inlineStr">
        <is>
          <t>←</t>
        </is>
      </c>
      <c r="I257" s="857" t="inlineStr">
        <is>
          <t>←</t>
        </is>
      </c>
      <c r="J257" s="857" t="inlineStr">
        <is>
          <t>←</t>
        </is>
      </c>
      <c r="K257" s="857" t="inlineStr">
        <is>
          <t>←</t>
        </is>
      </c>
      <c r="L257" s="857" t="inlineStr">
        <is>
          <t>←</t>
        </is>
      </c>
      <c r="M257" s="857" t="inlineStr">
        <is>
          <t>←</t>
        </is>
      </c>
      <c r="N257" s="857" t="inlineStr">
        <is>
          <t>←</t>
        </is>
      </c>
      <c r="O257" s="857" t="inlineStr">
        <is>
          <t>←</t>
        </is>
      </c>
      <c r="P257" s="857" t="inlineStr">
        <is>
          <t>←</t>
        </is>
      </c>
      <c r="Q257" s="857" t="inlineStr">
        <is>
          <t>【家】ターゲット1400仕上げ→1900</t>
        </is>
      </c>
      <c r="R257" s="857" t="inlineStr">
        <is>
          <t>←</t>
        </is>
      </c>
      <c r="S257" s="857" t="inlineStr">
        <is>
          <t>←</t>
        </is>
      </c>
      <c r="T257" s="857" t="inlineStr">
        <is>
          <t>←</t>
        </is>
      </c>
      <c r="U257" s="857" t="inlineStr">
        <is>
          <t>【家】{志望校}過去問</t>
        </is>
      </c>
      <c r="V257" s="857" t="inlineStr">
        <is>
          <t>←</t>
        </is>
      </c>
    </row>
    <row r="258">
      <c r="A258" s="856" t="inlineStr">
        <is>
          <t>私大理系|英語|標準|講座</t>
        </is>
      </c>
      <c r="B258" s="856" t="inlineStr">
        <is>
          <t>私大理系</t>
        </is>
      </c>
      <c r="C258" s="856" t="inlineStr">
        <is>
          <t>英語</t>
        </is>
      </c>
      <c r="D258" s="856" t="inlineStr">
        <is>
          <t>標準</t>
        </is>
      </c>
      <c r="E258" s="856" t="inlineStr">
        <is>
          <t>講座</t>
        </is>
      </c>
      <c r="F258" s="856" t="n"/>
      <c r="G258" s="856" t="inlineStr">
        <is>
          <t>入試標準英語</t>
        </is>
      </c>
      <c r="H258" s="856" t="inlineStr">
        <is>
          <t>←</t>
        </is>
      </c>
      <c r="I258" s="856" t="inlineStr">
        <is>
          <t>←</t>
        </is>
      </c>
      <c r="J258" s="856" t="inlineStr">
        <is>
          <t>←</t>
        </is>
      </c>
      <c r="K258" s="856" t="inlineStr">
        <is>
          <t>←</t>
        </is>
      </c>
      <c r="L258" s="856" t="inlineStr">
        <is>
          <t>←</t>
        </is>
      </c>
      <c r="M258" s="856" t="inlineStr">
        <is>
          <t>←</t>
        </is>
      </c>
      <c r="N258" s="856" t="inlineStr">
        <is>
          <t>←</t>
        </is>
      </c>
      <c r="O258" s="856" t="inlineStr">
        <is>
          <t>夏期講習</t>
        </is>
      </c>
      <c r="P258" s="856" t="inlineStr">
        <is>
          <t>←</t>
        </is>
      </c>
      <c r="Q258" s="856" t="inlineStr">
        <is>
          <t>入試標準英語</t>
        </is>
      </c>
      <c r="R258" s="856" t="inlineStr">
        <is>
          <t>←</t>
        </is>
      </c>
      <c r="S258" s="856" t="inlineStr">
        <is>
          <t>←</t>
        </is>
      </c>
      <c r="T258" s="856" t="inlineStr">
        <is>
          <t>←</t>
        </is>
      </c>
      <c r="U258" s="856" t="inlineStr">
        <is>
          <t>直前講習</t>
        </is>
      </c>
      <c r="V258" s="856" t="inlineStr">
        <is>
          <t>←</t>
        </is>
      </c>
    </row>
    <row r="259">
      <c r="A259" s="857" t="inlineStr">
        <is>
          <t>私大理系|英語|標準|回</t>
        </is>
      </c>
      <c r="B259" s="857" t="inlineStr">
        <is>
          <t>私大理系</t>
        </is>
      </c>
      <c r="C259" s="857" t="inlineStr">
        <is>
          <t>英語</t>
        </is>
      </c>
      <c r="D259" s="857" t="inlineStr">
        <is>
          <t>標準</t>
        </is>
      </c>
      <c r="E259" s="857" t="inlineStr">
        <is>
          <t>回</t>
        </is>
      </c>
      <c r="F259" s="857" t="n"/>
      <c r="G259" s="857" t="inlineStr">
        <is>
          <t>練成1</t>
        </is>
      </c>
      <c r="H259" s="857" t="inlineStr">
        <is>
          <t>練成2</t>
        </is>
      </c>
      <c r="I259" s="857" t="inlineStr">
        <is>
          <t>練成3</t>
        </is>
      </c>
      <c r="J259" s="857" t="inlineStr">
        <is>
          <t>練成4</t>
        </is>
      </c>
      <c r="K259" s="857" t="inlineStr">
        <is>
          <t>練成5</t>
        </is>
      </c>
      <c r="L259" s="857" t="inlineStr">
        <is>
          <t>練成6</t>
        </is>
      </c>
      <c r="M259" s="857" t="inlineStr">
        <is>
          <t>練成7</t>
        </is>
      </c>
      <c r="N259" s="857" t="inlineStr">
        <is>
          <t>練成8</t>
        </is>
      </c>
      <c r="O259" s="857" t="inlineStr">
        <is>
          <t>夏期1</t>
        </is>
      </c>
      <c r="P259" s="857" t="inlineStr">
        <is>
          <t>夏期2</t>
        </is>
      </c>
      <c r="Q259" s="857" t="inlineStr">
        <is>
          <t>実戦1</t>
        </is>
      </c>
      <c r="R259" s="857" t="inlineStr">
        <is>
          <t>実戦2</t>
        </is>
      </c>
      <c r="S259" s="857" t="inlineStr">
        <is>
          <t>実戦3</t>
        </is>
      </c>
      <c r="T259" s="857" t="inlineStr">
        <is>
          <t>実戦4</t>
        </is>
      </c>
      <c r="U259" s="857" t="inlineStr">
        <is>
          <t>直前1</t>
        </is>
      </c>
      <c r="V259" s="857" t="inlineStr">
        <is>
          <t>※</t>
        </is>
      </c>
    </row>
    <row r="260">
      <c r="A260" s="857" t="inlineStr">
        <is>
          <t>私大理系|英語|標準|塾</t>
        </is>
      </c>
      <c r="B260" s="857" t="inlineStr">
        <is>
          <t>私大理系</t>
        </is>
      </c>
      <c r="C260" s="857" t="inlineStr">
        <is>
          <t>英語</t>
        </is>
      </c>
      <c r="D260" s="857" t="inlineStr">
        <is>
          <t>標準</t>
        </is>
      </c>
      <c r="E260" s="857" t="inlineStr">
        <is>
          <t>塾</t>
        </is>
      </c>
      <c r="F260" s="857" t="inlineStr">
        <is>
          <t>【塾】英文法・語法 Vintage</t>
        </is>
      </c>
      <c r="G260" s="857" t="inlineStr">
        <is>
          <t>←</t>
        </is>
      </c>
      <c r="H260" s="857" t="inlineStr">
        <is>
          <t>←</t>
        </is>
      </c>
      <c r="I260" s="857" t="inlineStr">
        <is>
          <t>←</t>
        </is>
      </c>
      <c r="J260" s="857" t="inlineStr">
        <is>
          <t>【塾】入門英文解釈の技術70（精読）</t>
        </is>
      </c>
      <c r="K260" s="857" t="inlineStr">
        <is>
          <t>←</t>
        </is>
      </c>
      <c r="L260" s="857" t="inlineStr">
        <is>
          <t>←</t>
        </is>
      </c>
      <c r="M260" s="857" t="inlineStr">
        <is>
          <t>←</t>
        </is>
      </c>
      <c r="N260" s="857" t="inlineStr">
        <is>
          <t>←</t>
        </is>
      </c>
      <c r="O260" s="857" t="inlineStr">
        <is>
          <t>←</t>
        </is>
      </c>
      <c r="P260" s="857" t="inlineStr">
        <is>
          <t>←</t>
        </is>
      </c>
      <c r="Q260" s="857" t="inlineStr">
        <is>
          <t>【塾】やっておきたい英語長文500</t>
        </is>
      </c>
      <c r="R260" s="857" t="inlineStr">
        <is>
          <t>←</t>
        </is>
      </c>
      <c r="S260" s="857" t="inlineStr">
        <is>
          <t>←</t>
        </is>
      </c>
      <c r="T260" s="857" t="inlineStr">
        <is>
          <t>←</t>
        </is>
      </c>
      <c r="U260" s="857" t="inlineStr">
        <is>
          <t>【塾】{志望校}過去問</t>
        </is>
      </c>
      <c r="V260" s="857" t="inlineStr">
        <is>
          <t>←</t>
        </is>
      </c>
    </row>
    <row r="261">
      <c r="A261" s="857" t="inlineStr">
        <is>
          <t>私大理系|英語|標準|家</t>
        </is>
      </c>
      <c r="B261" s="857" t="inlineStr">
        <is>
          <t>私大理系</t>
        </is>
      </c>
      <c r="C261" s="857" t="inlineStr">
        <is>
          <t>英語</t>
        </is>
      </c>
      <c r="D261" s="857" t="inlineStr">
        <is>
          <t>標準</t>
        </is>
      </c>
      <c r="E261" s="857" t="inlineStr">
        <is>
          <t>家</t>
        </is>
      </c>
      <c r="F261" s="857" t="inlineStr">
        <is>
          <t>【家】ターゲット1900（毎週テスト）</t>
        </is>
      </c>
      <c r="G261" s="857" t="inlineStr">
        <is>
          <t>←</t>
        </is>
      </c>
      <c r="H261" s="857" t="inlineStr">
        <is>
          <t>←</t>
        </is>
      </c>
      <c r="I261" s="857" t="inlineStr">
        <is>
          <t>←</t>
        </is>
      </c>
      <c r="J261" s="857" t="inlineStr">
        <is>
          <t>【家】ターゲット1900＋解体英熟語</t>
        </is>
      </c>
      <c r="K261" s="857" t="inlineStr">
        <is>
          <t>←</t>
        </is>
      </c>
      <c r="L261" s="857" t="inlineStr">
        <is>
          <t>←</t>
        </is>
      </c>
      <c r="M261" s="857" t="inlineStr">
        <is>
          <t>←</t>
        </is>
      </c>
      <c r="N261" s="857" t="inlineStr">
        <is>
          <t>←</t>
        </is>
      </c>
      <c r="O261" s="857" t="inlineStr">
        <is>
          <t>←</t>
        </is>
      </c>
      <c r="P261" s="857" t="inlineStr">
        <is>
          <t>←</t>
        </is>
      </c>
      <c r="Q261" s="857" t="inlineStr">
        <is>
          <t>【家】ターゲット1900仕上げ</t>
        </is>
      </c>
      <c r="R261" s="857" t="inlineStr">
        <is>
          <t>←</t>
        </is>
      </c>
      <c r="S261" s="857" t="inlineStr">
        <is>
          <t>←</t>
        </is>
      </c>
      <c r="T261" s="857" t="inlineStr">
        <is>
          <t>←</t>
        </is>
      </c>
      <c r="U261" s="857" t="inlineStr">
        <is>
          <t>【家】{志望校}過去問</t>
        </is>
      </c>
      <c r="V261" s="857" t="inlineStr">
        <is>
          <t>←</t>
        </is>
      </c>
    </row>
    <row r="262">
      <c r="A262" s="856" t="inlineStr">
        <is>
          <t>私大理系|英語|難関|講座</t>
        </is>
      </c>
      <c r="B262" s="856" t="inlineStr">
        <is>
          <t>私大理系</t>
        </is>
      </c>
      <c r="C262" s="856" t="inlineStr">
        <is>
          <t>英語</t>
        </is>
      </c>
      <c r="D262" s="856" t="inlineStr">
        <is>
          <t>難関</t>
        </is>
      </c>
      <c r="E262" s="856" t="inlineStr">
        <is>
          <t>講座</t>
        </is>
      </c>
      <c r="F262" s="856" t="n"/>
      <c r="G262" s="856" t="inlineStr">
        <is>
          <t>難関私大英語</t>
        </is>
      </c>
      <c r="H262" s="856" t="inlineStr">
        <is>
          <t>←</t>
        </is>
      </c>
      <c r="I262" s="856" t="inlineStr">
        <is>
          <t>←</t>
        </is>
      </c>
      <c r="J262" s="856" t="inlineStr">
        <is>
          <t>←</t>
        </is>
      </c>
      <c r="K262" s="856" t="inlineStr">
        <is>
          <t>←</t>
        </is>
      </c>
      <c r="L262" s="856" t="inlineStr">
        <is>
          <t>←</t>
        </is>
      </c>
      <c r="M262" s="856" t="inlineStr">
        <is>
          <t>←</t>
        </is>
      </c>
      <c r="N262" s="856" t="inlineStr">
        <is>
          <t>←</t>
        </is>
      </c>
      <c r="O262" s="856" t="inlineStr">
        <is>
          <t>夏期講習</t>
        </is>
      </c>
      <c r="P262" s="856" t="inlineStr">
        <is>
          <t>←</t>
        </is>
      </c>
      <c r="Q262" s="856" t="inlineStr">
        <is>
          <t>難関私大英語</t>
        </is>
      </c>
      <c r="R262" s="856" t="inlineStr">
        <is>
          <t>←</t>
        </is>
      </c>
      <c r="S262" s="856" t="inlineStr">
        <is>
          <t>←</t>
        </is>
      </c>
      <c r="T262" s="856" t="inlineStr">
        <is>
          <t>←</t>
        </is>
      </c>
      <c r="U262" s="856" t="inlineStr">
        <is>
          <t>直前講習</t>
        </is>
      </c>
      <c r="V262" s="856" t="inlineStr">
        <is>
          <t>←</t>
        </is>
      </c>
    </row>
    <row r="263">
      <c r="A263" s="857" t="inlineStr">
        <is>
          <t>私大理系|英語|難関|回</t>
        </is>
      </c>
      <c r="B263" s="857" t="inlineStr">
        <is>
          <t>私大理系</t>
        </is>
      </c>
      <c r="C263" s="857" t="inlineStr">
        <is>
          <t>英語</t>
        </is>
      </c>
      <c r="D263" s="857" t="inlineStr">
        <is>
          <t>難関</t>
        </is>
      </c>
      <c r="E263" s="857" t="inlineStr">
        <is>
          <t>回</t>
        </is>
      </c>
      <c r="F263" s="857" t="n"/>
      <c r="G263" s="857" t="inlineStr">
        <is>
          <t>練成1</t>
        </is>
      </c>
      <c r="H263" s="857" t="inlineStr">
        <is>
          <t>練成2</t>
        </is>
      </c>
      <c r="I263" s="857" t="inlineStr">
        <is>
          <t>練成3</t>
        </is>
      </c>
      <c r="J263" s="857" t="inlineStr">
        <is>
          <t>練成4</t>
        </is>
      </c>
      <c r="K263" s="857" t="inlineStr">
        <is>
          <t>練成5</t>
        </is>
      </c>
      <c r="L263" s="857" t="inlineStr">
        <is>
          <t>練成6</t>
        </is>
      </c>
      <c r="M263" s="857" t="inlineStr">
        <is>
          <t>練成7</t>
        </is>
      </c>
      <c r="N263" s="857" t="inlineStr">
        <is>
          <t>練成8</t>
        </is>
      </c>
      <c r="O263" s="857" t="inlineStr">
        <is>
          <t>夏期1</t>
        </is>
      </c>
      <c r="P263" s="857" t="inlineStr">
        <is>
          <t>夏期2</t>
        </is>
      </c>
      <c r="Q263" s="857" t="inlineStr">
        <is>
          <t>実戦1</t>
        </is>
      </c>
      <c r="R263" s="857" t="inlineStr">
        <is>
          <t>実戦2</t>
        </is>
      </c>
      <c r="S263" s="857" t="inlineStr">
        <is>
          <t>実戦3</t>
        </is>
      </c>
      <c r="T263" s="857" t="inlineStr">
        <is>
          <t>実戦4</t>
        </is>
      </c>
      <c r="U263" s="857" t="inlineStr">
        <is>
          <t>直前1</t>
        </is>
      </c>
      <c r="V263" s="857" t="inlineStr">
        <is>
          <t>※</t>
        </is>
      </c>
    </row>
    <row r="264">
      <c r="A264" s="857" t="inlineStr">
        <is>
          <t>私大理系|英語|難関|塾</t>
        </is>
      </c>
      <c r="B264" s="857" t="inlineStr">
        <is>
          <t>私大理系</t>
        </is>
      </c>
      <c r="C264" s="857" t="inlineStr">
        <is>
          <t>英語</t>
        </is>
      </c>
      <c r="D264" s="857" t="inlineStr">
        <is>
          <t>難関</t>
        </is>
      </c>
      <c r="E264" s="857" t="inlineStr">
        <is>
          <t>塾</t>
        </is>
      </c>
      <c r="F264" s="857" t="inlineStr">
        <is>
          <t>【塾】英文法・語法 Vintage</t>
        </is>
      </c>
      <c r="G264" s="857" t="inlineStr">
        <is>
          <t>←</t>
        </is>
      </c>
      <c r="H264" s="857" t="inlineStr">
        <is>
          <t>←</t>
        </is>
      </c>
      <c r="I264" s="857" t="inlineStr">
        <is>
          <t>←</t>
        </is>
      </c>
      <c r="J264" s="857" t="inlineStr">
        <is>
          <t>【塾】基礎英文解釈の技術100</t>
        </is>
      </c>
      <c r="K264" s="857" t="inlineStr">
        <is>
          <t>←</t>
        </is>
      </c>
      <c r="L264" s="857" t="inlineStr">
        <is>
          <t>←</t>
        </is>
      </c>
      <c r="M264" s="857" t="inlineStr">
        <is>
          <t>←</t>
        </is>
      </c>
      <c r="N264" s="857" t="inlineStr">
        <is>
          <t>←</t>
        </is>
      </c>
      <c r="O264" s="857" t="inlineStr">
        <is>
          <t>←</t>
        </is>
      </c>
      <c r="P264" s="857" t="inlineStr">
        <is>
          <t>←</t>
        </is>
      </c>
      <c r="Q264" s="857" t="inlineStr">
        <is>
          <t>【塾】やっておきたい英語長文700</t>
        </is>
      </c>
      <c r="R264" s="857" t="inlineStr">
        <is>
          <t>←</t>
        </is>
      </c>
      <c r="S264" s="857" t="inlineStr">
        <is>
          <t>←</t>
        </is>
      </c>
      <c r="T264" s="857" t="inlineStr">
        <is>
          <t>←</t>
        </is>
      </c>
      <c r="U264" s="857" t="inlineStr">
        <is>
          <t>【塾】{志望校}過去問</t>
        </is>
      </c>
      <c r="V264" s="857" t="inlineStr">
        <is>
          <t>←</t>
        </is>
      </c>
    </row>
    <row r="265">
      <c r="A265" s="857" t="inlineStr">
        <is>
          <t>私大理系|英語|難関|家</t>
        </is>
      </c>
      <c r="B265" s="857" t="inlineStr">
        <is>
          <t>私大理系</t>
        </is>
      </c>
      <c r="C265" s="857" t="inlineStr">
        <is>
          <t>英語</t>
        </is>
      </c>
      <c r="D265" s="857" t="inlineStr">
        <is>
          <t>難関</t>
        </is>
      </c>
      <c r="E265" s="857" t="inlineStr">
        <is>
          <t>家</t>
        </is>
      </c>
      <c r="F265" s="857" t="inlineStr">
        <is>
          <t>【家】ターゲット1900（毎週テスト）</t>
        </is>
      </c>
      <c r="G265" s="857" t="inlineStr">
        <is>
          <t>←</t>
        </is>
      </c>
      <c r="H265" s="857" t="inlineStr">
        <is>
          <t>←</t>
        </is>
      </c>
      <c r="I265" s="857" t="inlineStr">
        <is>
          <t>←</t>
        </is>
      </c>
      <c r="J265" s="857" t="inlineStr">
        <is>
          <t>【家】ターゲット1900＋解体英熟語</t>
        </is>
      </c>
      <c r="K265" s="857" t="inlineStr">
        <is>
          <t>←</t>
        </is>
      </c>
      <c r="L265" s="857" t="inlineStr">
        <is>
          <t>←</t>
        </is>
      </c>
      <c r="M265" s="857" t="inlineStr">
        <is>
          <t>←</t>
        </is>
      </c>
      <c r="N265" s="857" t="inlineStr">
        <is>
          <t>←</t>
        </is>
      </c>
      <c r="O265" s="857" t="inlineStr">
        <is>
          <t>←</t>
        </is>
      </c>
      <c r="P265" s="857" t="inlineStr">
        <is>
          <t>←</t>
        </is>
      </c>
      <c r="Q265" s="857" t="inlineStr">
        <is>
          <t>【家】速読英単語 上級編＋ターゲット1900仕上げ</t>
        </is>
      </c>
      <c r="R265" s="857" t="inlineStr">
        <is>
          <t>←</t>
        </is>
      </c>
      <c r="S265" s="857" t="inlineStr">
        <is>
          <t>←</t>
        </is>
      </c>
      <c r="T265" s="857" t="inlineStr">
        <is>
          <t>←</t>
        </is>
      </c>
      <c r="U265" s="857" t="inlineStr">
        <is>
          <t>【家】{志望校}過去問</t>
        </is>
      </c>
      <c r="V265" s="857" t="inlineStr">
        <is>
          <t>←</t>
        </is>
      </c>
    </row>
    <row r="266">
      <c r="A266" s="856" t="inlineStr">
        <is>
          <t>私大理系|数学|基礎|講座</t>
        </is>
      </c>
      <c r="B266" s="856" t="inlineStr">
        <is>
          <t>私大理系</t>
        </is>
      </c>
      <c r="C266" s="856" t="inlineStr">
        <is>
          <t>数学</t>
        </is>
      </c>
      <c r="D266" s="856" t="inlineStr">
        <is>
          <t>基礎</t>
        </is>
      </c>
      <c r="E266" s="856" t="inlineStr">
        <is>
          <t>講座</t>
        </is>
      </c>
      <c r="F266" s="856" t="n"/>
      <c r="G266" s="856" t="inlineStr">
        <is>
          <t>基礎数学ⅠA・ⅡB・C・Ⅲ</t>
        </is>
      </c>
      <c r="H266" s="856" t="inlineStr">
        <is>
          <t>←</t>
        </is>
      </c>
      <c r="I266" s="856" t="inlineStr">
        <is>
          <t>←</t>
        </is>
      </c>
      <c r="J266" s="856" t="inlineStr">
        <is>
          <t>←</t>
        </is>
      </c>
      <c r="K266" s="856" t="inlineStr">
        <is>
          <t>←</t>
        </is>
      </c>
      <c r="L266" s="856" t="inlineStr">
        <is>
          <t>←</t>
        </is>
      </c>
      <c r="M266" s="856" t="inlineStr">
        <is>
          <t>←</t>
        </is>
      </c>
      <c r="N266" s="856" t="inlineStr">
        <is>
          <t>←</t>
        </is>
      </c>
      <c r="O266" s="856" t="inlineStr">
        <is>
          <t>夏期講習</t>
        </is>
      </c>
      <c r="P266" s="856" t="inlineStr">
        <is>
          <t>←</t>
        </is>
      </c>
      <c r="Q266" s="856" t="inlineStr">
        <is>
          <t>基礎数学ⅠA・ⅡB・C・Ⅲ</t>
        </is>
      </c>
      <c r="R266" s="856" t="inlineStr">
        <is>
          <t>←</t>
        </is>
      </c>
      <c r="S266" s="856" t="inlineStr">
        <is>
          <t>←</t>
        </is>
      </c>
      <c r="T266" s="856" t="inlineStr">
        <is>
          <t>←</t>
        </is>
      </c>
      <c r="U266" s="856" t="inlineStr">
        <is>
          <t>直前講習</t>
        </is>
      </c>
      <c r="V266" s="856" t="inlineStr">
        <is>
          <t>←</t>
        </is>
      </c>
    </row>
    <row r="267">
      <c r="A267" s="857" t="inlineStr">
        <is>
          <t>私大理系|数学|基礎|回</t>
        </is>
      </c>
      <c r="B267" s="857" t="inlineStr">
        <is>
          <t>私大理系</t>
        </is>
      </c>
      <c r="C267" s="857" t="inlineStr">
        <is>
          <t>数学</t>
        </is>
      </c>
      <c r="D267" s="857" t="inlineStr">
        <is>
          <t>基礎</t>
        </is>
      </c>
      <c r="E267" s="857" t="inlineStr">
        <is>
          <t>回</t>
        </is>
      </c>
      <c r="F267" s="857" t="n"/>
      <c r="G267" s="857" t="inlineStr">
        <is>
          <t>練成1</t>
        </is>
      </c>
      <c r="H267" s="857" t="inlineStr">
        <is>
          <t>練成2</t>
        </is>
      </c>
      <c r="I267" s="857" t="inlineStr">
        <is>
          <t>練成3</t>
        </is>
      </c>
      <c r="J267" s="857" t="inlineStr">
        <is>
          <t>練成4</t>
        </is>
      </c>
      <c r="K267" s="857" t="inlineStr">
        <is>
          <t>練成5</t>
        </is>
      </c>
      <c r="L267" s="857" t="inlineStr">
        <is>
          <t>練成6</t>
        </is>
      </c>
      <c r="M267" s="857" t="inlineStr">
        <is>
          <t>練成7</t>
        </is>
      </c>
      <c r="N267" s="857" t="inlineStr">
        <is>
          <t>練成8</t>
        </is>
      </c>
      <c r="O267" s="857" t="inlineStr">
        <is>
          <t>夏期1</t>
        </is>
      </c>
      <c r="P267" s="857" t="inlineStr">
        <is>
          <t>夏期2</t>
        </is>
      </c>
      <c r="Q267" s="857" t="inlineStr">
        <is>
          <t>実戦1</t>
        </is>
      </c>
      <c r="R267" s="857" t="inlineStr">
        <is>
          <t>実戦2</t>
        </is>
      </c>
      <c r="S267" s="857" t="inlineStr">
        <is>
          <t>実戦3</t>
        </is>
      </c>
      <c r="T267" s="857" t="inlineStr">
        <is>
          <t>実戦4</t>
        </is>
      </c>
      <c r="U267" s="857" t="inlineStr">
        <is>
          <t>直前1</t>
        </is>
      </c>
      <c r="V267" s="857" t="inlineStr">
        <is>
          <t>※</t>
        </is>
      </c>
    </row>
    <row r="268">
      <c r="A268" s="857" t="inlineStr">
        <is>
          <t>私大理系|数学|基礎|塾</t>
        </is>
      </c>
      <c r="B268" s="857" t="inlineStr">
        <is>
          <t>私大理系</t>
        </is>
      </c>
      <c r="C268" s="857" t="inlineStr">
        <is>
          <t>数学</t>
        </is>
      </c>
      <c r="D268" s="857" t="inlineStr">
        <is>
          <t>基礎</t>
        </is>
      </c>
      <c r="E268" s="857" t="inlineStr">
        <is>
          <t>塾</t>
        </is>
      </c>
      <c r="F268" s="857" t="inlineStr">
        <is>
          <t>【塾】黄チャート ⅠA・ⅡBC → 数学Ⅲ（例題）</t>
        </is>
      </c>
      <c r="G268" s="857" t="inlineStr">
        <is>
          <t>←</t>
        </is>
      </c>
      <c r="H268" s="857" t="inlineStr">
        <is>
          <t>←</t>
        </is>
      </c>
      <c r="I268" s="857" t="inlineStr">
        <is>
          <t>←</t>
        </is>
      </c>
      <c r="J268" s="857" t="inlineStr">
        <is>
          <t>←</t>
        </is>
      </c>
      <c r="K268" s="857" t="inlineStr">
        <is>
          <t>←</t>
        </is>
      </c>
      <c r="L268" s="857" t="inlineStr">
        <is>
          <t>←</t>
        </is>
      </c>
      <c r="M268" s="857" t="inlineStr">
        <is>
          <t>←</t>
        </is>
      </c>
      <c r="N268" s="857" t="inlineStr">
        <is>
          <t>←</t>
        </is>
      </c>
      <c r="O268" s="857" t="inlineStr">
        <is>
          <t>←</t>
        </is>
      </c>
      <c r="P268" s="857" t="inlineStr">
        <is>
          <t>←</t>
        </is>
      </c>
      <c r="Q268" s="857" t="inlineStr">
        <is>
          <t>【塾】黄チャート（重要例題）</t>
        </is>
      </c>
      <c r="R268" s="857" t="inlineStr">
        <is>
          <t>←</t>
        </is>
      </c>
      <c r="S268" s="857" t="inlineStr">
        <is>
          <t>←</t>
        </is>
      </c>
      <c r="T268" s="857" t="inlineStr">
        <is>
          <t>←</t>
        </is>
      </c>
      <c r="U268" s="857" t="inlineStr">
        <is>
          <t>【塾】{志望校}過去問</t>
        </is>
      </c>
      <c r="V268" s="857" t="inlineStr">
        <is>
          <t>←</t>
        </is>
      </c>
    </row>
    <row r="269">
      <c r="A269" s="857" t="inlineStr">
        <is>
          <t>私大理系|数学|基礎|家</t>
        </is>
      </c>
      <c r="B269" s="857" t="inlineStr">
        <is>
          <t>私大理系</t>
        </is>
      </c>
      <c r="C269" s="857" t="inlineStr">
        <is>
          <t>数学</t>
        </is>
      </c>
      <c r="D269" s="857" t="inlineStr">
        <is>
          <t>基礎</t>
        </is>
      </c>
      <c r="E269" s="857" t="inlineStr">
        <is>
          <t>家</t>
        </is>
      </c>
      <c r="F269" s="857" t="inlineStr">
        <is>
          <t>【家】入試数学の基礎問題精講 ⅠA・ⅡBC・Ⅲ（例題のみ）</t>
        </is>
      </c>
      <c r="G269" s="857" t="inlineStr">
        <is>
          <t>←</t>
        </is>
      </c>
      <c r="H269" s="857" t="inlineStr">
        <is>
          <t>←</t>
        </is>
      </c>
      <c r="I269" s="857" t="inlineStr">
        <is>
          <t>←</t>
        </is>
      </c>
      <c r="J269" s="857" t="inlineStr">
        <is>
          <t>←</t>
        </is>
      </c>
      <c r="K269" s="857" t="inlineStr">
        <is>
          <t>←</t>
        </is>
      </c>
      <c r="L269" s="857" t="inlineStr">
        <is>
          <t>←</t>
        </is>
      </c>
      <c r="M269" s="857" t="inlineStr">
        <is>
          <t>←</t>
        </is>
      </c>
      <c r="N269" s="857" t="inlineStr">
        <is>
          <t>←</t>
        </is>
      </c>
      <c r="O269" s="857" t="inlineStr">
        <is>
          <t>←</t>
        </is>
      </c>
      <c r="P269" s="857" t="inlineStr">
        <is>
          <t>←</t>
        </is>
      </c>
      <c r="Q269" s="857" t="inlineStr">
        <is>
          <t>【家】数学の問題集で演習</t>
        </is>
      </c>
      <c r="R269" s="857" t="inlineStr">
        <is>
          <t>←</t>
        </is>
      </c>
      <c r="S269" s="857" t="inlineStr">
        <is>
          <t>←</t>
        </is>
      </c>
      <c r="T269" s="857" t="inlineStr">
        <is>
          <t>←</t>
        </is>
      </c>
      <c r="U269" s="857" t="inlineStr">
        <is>
          <t>【家】{志望校}過去問</t>
        </is>
      </c>
      <c r="V269" s="857" t="inlineStr">
        <is>
          <t>←</t>
        </is>
      </c>
    </row>
    <row r="270">
      <c r="A270" s="856" t="inlineStr">
        <is>
          <t>私大理系|数学|標準|講座</t>
        </is>
      </c>
      <c r="B270" s="856" t="inlineStr">
        <is>
          <t>私大理系</t>
        </is>
      </c>
      <c r="C270" s="856" t="inlineStr">
        <is>
          <t>数学</t>
        </is>
      </c>
      <c r="D270" s="856" t="inlineStr">
        <is>
          <t>標準</t>
        </is>
      </c>
      <c r="E270" s="856" t="inlineStr">
        <is>
          <t>講座</t>
        </is>
      </c>
      <c r="F270" s="856" t="n"/>
      <c r="G270" s="856" t="inlineStr">
        <is>
          <t>標準数学ⅠA・ⅡB・C・Ⅲ</t>
        </is>
      </c>
      <c r="H270" s="856" t="inlineStr">
        <is>
          <t>←</t>
        </is>
      </c>
      <c r="I270" s="856" t="inlineStr">
        <is>
          <t>←</t>
        </is>
      </c>
      <c r="J270" s="856" t="inlineStr">
        <is>
          <t>←</t>
        </is>
      </c>
      <c r="K270" s="856" t="inlineStr">
        <is>
          <t>←</t>
        </is>
      </c>
      <c r="L270" s="856" t="inlineStr">
        <is>
          <t>←</t>
        </is>
      </c>
      <c r="M270" s="856" t="inlineStr">
        <is>
          <t>←</t>
        </is>
      </c>
      <c r="N270" s="856" t="inlineStr">
        <is>
          <t>←</t>
        </is>
      </c>
      <c r="O270" s="856" t="inlineStr">
        <is>
          <t>夏期講習</t>
        </is>
      </c>
      <c r="P270" s="856" t="inlineStr">
        <is>
          <t>←</t>
        </is>
      </c>
      <c r="Q270" s="856" t="inlineStr">
        <is>
          <t>標準数学ⅠA・ⅡB・C・Ⅲ</t>
        </is>
      </c>
      <c r="R270" s="856" t="inlineStr">
        <is>
          <t>←</t>
        </is>
      </c>
      <c r="S270" s="856" t="inlineStr">
        <is>
          <t>←</t>
        </is>
      </c>
      <c r="T270" s="856" t="inlineStr">
        <is>
          <t>←</t>
        </is>
      </c>
      <c r="U270" s="856" t="inlineStr">
        <is>
          <t>直前講習</t>
        </is>
      </c>
      <c r="V270" s="856" t="inlineStr">
        <is>
          <t>←</t>
        </is>
      </c>
    </row>
    <row r="271">
      <c r="A271" s="857" t="inlineStr">
        <is>
          <t>私大理系|数学|標準|回</t>
        </is>
      </c>
      <c r="B271" s="857" t="inlineStr">
        <is>
          <t>私大理系</t>
        </is>
      </c>
      <c r="C271" s="857" t="inlineStr">
        <is>
          <t>数学</t>
        </is>
      </c>
      <c r="D271" s="857" t="inlineStr">
        <is>
          <t>標準</t>
        </is>
      </c>
      <c r="E271" s="857" t="inlineStr">
        <is>
          <t>回</t>
        </is>
      </c>
      <c r="F271" s="857" t="n"/>
      <c r="G271" s="857" t="inlineStr">
        <is>
          <t>練成1</t>
        </is>
      </c>
      <c r="H271" s="857" t="inlineStr">
        <is>
          <t>練成2</t>
        </is>
      </c>
      <c r="I271" s="857" t="inlineStr">
        <is>
          <t>練成3</t>
        </is>
      </c>
      <c r="J271" s="857" t="inlineStr">
        <is>
          <t>練成4</t>
        </is>
      </c>
      <c r="K271" s="857" t="inlineStr">
        <is>
          <t>練成5</t>
        </is>
      </c>
      <c r="L271" s="857" t="inlineStr">
        <is>
          <t>練成6</t>
        </is>
      </c>
      <c r="M271" s="857" t="inlineStr">
        <is>
          <t>練成7</t>
        </is>
      </c>
      <c r="N271" s="857" t="inlineStr">
        <is>
          <t>練成8</t>
        </is>
      </c>
      <c r="O271" s="857" t="inlineStr">
        <is>
          <t>夏期1</t>
        </is>
      </c>
      <c r="P271" s="857" t="inlineStr">
        <is>
          <t>夏期2</t>
        </is>
      </c>
      <c r="Q271" s="857" t="inlineStr">
        <is>
          <t>実戦1</t>
        </is>
      </c>
      <c r="R271" s="857" t="inlineStr">
        <is>
          <t>実戦2</t>
        </is>
      </c>
      <c r="S271" s="857" t="inlineStr">
        <is>
          <t>実戦3</t>
        </is>
      </c>
      <c r="T271" s="857" t="inlineStr">
        <is>
          <t>実戦4</t>
        </is>
      </c>
      <c r="U271" s="857" t="inlineStr">
        <is>
          <t>直前1</t>
        </is>
      </c>
      <c r="V271" s="857" t="inlineStr">
        <is>
          <t>※</t>
        </is>
      </c>
    </row>
    <row r="272">
      <c r="A272" s="857" t="inlineStr">
        <is>
          <t>私大理系|数学|標準|塾</t>
        </is>
      </c>
      <c r="B272" s="857" t="inlineStr">
        <is>
          <t>私大理系</t>
        </is>
      </c>
      <c r="C272" s="857" t="inlineStr">
        <is>
          <t>数学</t>
        </is>
      </c>
      <c r="D272" s="857" t="inlineStr">
        <is>
          <t>標準</t>
        </is>
      </c>
      <c r="E272" s="857" t="inlineStr">
        <is>
          <t>塾</t>
        </is>
      </c>
      <c r="F272" s="857" t="inlineStr">
        <is>
          <t>【塾】青チャート ⅠA・ⅡBC・Ⅲ（例題★3まで）</t>
        </is>
      </c>
      <c r="G272" s="857" t="inlineStr">
        <is>
          <t>←</t>
        </is>
      </c>
      <c r="H272" s="857" t="inlineStr">
        <is>
          <t>←</t>
        </is>
      </c>
      <c r="I272" s="857" t="inlineStr">
        <is>
          <t>←</t>
        </is>
      </c>
      <c r="J272" s="857" t="inlineStr">
        <is>
          <t>←</t>
        </is>
      </c>
      <c r="K272" s="857" t="inlineStr">
        <is>
          <t>←</t>
        </is>
      </c>
      <c r="L272" s="857" t="inlineStr">
        <is>
          <t>←</t>
        </is>
      </c>
      <c r="M272" s="857" t="inlineStr">
        <is>
          <t>←</t>
        </is>
      </c>
      <c r="N272" s="857" t="inlineStr">
        <is>
          <t>←</t>
        </is>
      </c>
      <c r="O272" s="857" t="inlineStr">
        <is>
          <t>←</t>
        </is>
      </c>
      <c r="P272" s="857" t="inlineStr">
        <is>
          <t>←</t>
        </is>
      </c>
      <c r="Q272" s="857" t="inlineStr">
        <is>
          <t>【塾】理系数学 入試の核心 標準編</t>
        </is>
      </c>
      <c r="R272" s="857" t="inlineStr">
        <is>
          <t>←</t>
        </is>
      </c>
      <c r="S272" s="857" t="inlineStr">
        <is>
          <t>←</t>
        </is>
      </c>
      <c r="T272" s="857" t="inlineStr">
        <is>
          <t>←</t>
        </is>
      </c>
      <c r="U272" s="857" t="inlineStr">
        <is>
          <t>【塾】{志望校}過去問</t>
        </is>
      </c>
      <c r="V272" s="857" t="inlineStr">
        <is>
          <t>←</t>
        </is>
      </c>
    </row>
    <row r="273">
      <c r="A273" s="857" t="inlineStr">
        <is>
          <t>私大理系|数学|標準|家</t>
        </is>
      </c>
      <c r="B273" s="857" t="inlineStr">
        <is>
          <t>私大理系</t>
        </is>
      </c>
      <c r="C273" s="857" t="inlineStr">
        <is>
          <t>数学</t>
        </is>
      </c>
      <c r="D273" s="857" t="inlineStr">
        <is>
          <t>標準</t>
        </is>
      </c>
      <c r="E273" s="857" t="inlineStr">
        <is>
          <t>家</t>
        </is>
      </c>
      <c r="F273" s="857" t="inlineStr">
        <is>
          <t>【家】入試数学の基礎問題精講 ⅠA・ⅡBC・Ⅲ（1冊10周）</t>
        </is>
      </c>
      <c r="G273" s="857" t="inlineStr">
        <is>
          <t>←</t>
        </is>
      </c>
      <c r="H273" s="857" t="inlineStr">
        <is>
          <t>←</t>
        </is>
      </c>
      <c r="I273" s="857" t="inlineStr">
        <is>
          <t>←</t>
        </is>
      </c>
      <c r="J273" s="857" t="inlineStr">
        <is>
          <t>←</t>
        </is>
      </c>
      <c r="K273" s="857" t="inlineStr">
        <is>
          <t>←</t>
        </is>
      </c>
      <c r="L273" s="857" t="inlineStr">
        <is>
          <t>←</t>
        </is>
      </c>
      <c r="M273" s="857" t="inlineStr">
        <is>
          <t>←</t>
        </is>
      </c>
      <c r="N273" s="857" t="inlineStr">
        <is>
          <t>←</t>
        </is>
      </c>
      <c r="O273" s="857" t="inlineStr">
        <is>
          <t>←</t>
        </is>
      </c>
      <c r="P273" s="857" t="inlineStr">
        <is>
          <t>←</t>
        </is>
      </c>
      <c r="Q273" s="857" t="inlineStr">
        <is>
          <t>【家】標準問題精講</t>
        </is>
      </c>
      <c r="R273" s="857" t="inlineStr">
        <is>
          <t>←</t>
        </is>
      </c>
      <c r="S273" s="857" t="inlineStr">
        <is>
          <t>←</t>
        </is>
      </c>
      <c r="T273" s="857" t="inlineStr">
        <is>
          <t>←</t>
        </is>
      </c>
      <c r="U273" s="857" t="inlineStr">
        <is>
          <t>【家】{志望校}過去問</t>
        </is>
      </c>
      <c r="V273" s="857" t="inlineStr">
        <is>
          <t>←</t>
        </is>
      </c>
    </row>
    <row r="274">
      <c r="A274" s="856" t="inlineStr">
        <is>
          <t>私大理系|数学|難関|講座</t>
        </is>
      </c>
      <c r="B274" s="856" t="inlineStr">
        <is>
          <t>私大理系</t>
        </is>
      </c>
      <c r="C274" s="856" t="inlineStr">
        <is>
          <t>数学</t>
        </is>
      </c>
      <c r="D274" s="856" t="inlineStr">
        <is>
          <t>難関</t>
        </is>
      </c>
      <c r="E274" s="856" t="inlineStr">
        <is>
          <t>講座</t>
        </is>
      </c>
      <c r="F274" s="856" t="n"/>
      <c r="G274" s="856" t="inlineStr">
        <is>
          <t>3NN　難関大数学ⅠA・ⅡB・C／数学Ⅲ</t>
        </is>
      </c>
      <c r="H274" s="856" t="inlineStr">
        <is>
          <t>←</t>
        </is>
      </c>
      <c r="I274" s="856" t="inlineStr">
        <is>
          <t>←</t>
        </is>
      </c>
      <c r="J274" s="856" t="inlineStr">
        <is>
          <t>←</t>
        </is>
      </c>
      <c r="K274" s="856" t="inlineStr">
        <is>
          <t>←</t>
        </is>
      </c>
      <c r="L274" s="856" t="inlineStr">
        <is>
          <t>←</t>
        </is>
      </c>
      <c r="M274" s="856" t="inlineStr">
        <is>
          <t>←</t>
        </is>
      </c>
      <c r="N274" s="856" t="inlineStr">
        <is>
          <t>←</t>
        </is>
      </c>
      <c r="O274" s="856" t="inlineStr">
        <is>
          <t>N3NN</t>
        </is>
      </c>
      <c r="P274" s="856" t="inlineStr">
        <is>
          <t>←</t>
        </is>
      </c>
      <c r="Q274" s="856" t="inlineStr">
        <is>
          <t>3NN　難関大数学ⅠA・ⅡB・C／数学Ⅲ</t>
        </is>
      </c>
      <c r="R274" s="856" t="inlineStr">
        <is>
          <t>←</t>
        </is>
      </c>
      <c r="S274" s="856" t="inlineStr">
        <is>
          <t>←</t>
        </is>
      </c>
      <c r="T274" s="856" t="inlineStr">
        <is>
          <t>←</t>
        </is>
      </c>
      <c r="U274" s="856" t="inlineStr">
        <is>
          <t>F3NN</t>
        </is>
      </c>
      <c r="V274" s="856" t="inlineStr">
        <is>
          <t>←</t>
        </is>
      </c>
    </row>
    <row r="275">
      <c r="A275" s="857" t="inlineStr">
        <is>
          <t>私大理系|数学|難関|回</t>
        </is>
      </c>
      <c r="B275" s="857" t="inlineStr">
        <is>
          <t>私大理系</t>
        </is>
      </c>
      <c r="C275" s="857" t="inlineStr">
        <is>
          <t>数学</t>
        </is>
      </c>
      <c r="D275" s="857" t="inlineStr">
        <is>
          <t>難関</t>
        </is>
      </c>
      <c r="E275" s="857" t="inlineStr">
        <is>
          <t>回</t>
        </is>
      </c>
      <c r="F275" s="857" t="n"/>
      <c r="G275" s="857" t="inlineStr">
        <is>
          <t>練成1</t>
        </is>
      </c>
      <c r="H275" s="857" t="inlineStr">
        <is>
          <t>練成2</t>
        </is>
      </c>
      <c r="I275" s="857" t="inlineStr">
        <is>
          <t>練成3・4</t>
        </is>
      </c>
      <c r="J275" s="857" t="inlineStr">
        <is>
          <t>練成5</t>
        </is>
      </c>
      <c r="K275" s="857" t="inlineStr">
        <is>
          <t>練成6</t>
        </is>
      </c>
      <c r="L275" s="857" t="inlineStr">
        <is>
          <t>練成7</t>
        </is>
      </c>
      <c r="M275" s="857" t="inlineStr">
        <is>
          <t>練成8</t>
        </is>
      </c>
      <c r="N275" s="857" t="inlineStr">
        <is>
          <t>練成9・10</t>
        </is>
      </c>
      <c r="O275" s="857" t="inlineStr">
        <is>
          <t>夏期1</t>
        </is>
      </c>
      <c r="P275" s="857" t="inlineStr">
        <is>
          <t>夏期2</t>
        </is>
      </c>
      <c r="Q275" s="857" t="inlineStr">
        <is>
          <t>実戦1</t>
        </is>
      </c>
      <c r="R275" s="857" t="inlineStr">
        <is>
          <t>実戦2</t>
        </is>
      </c>
      <c r="S275" s="857" t="inlineStr">
        <is>
          <t>実戦3</t>
        </is>
      </c>
      <c r="T275" s="857" t="inlineStr">
        <is>
          <t>実戦4</t>
        </is>
      </c>
      <c r="U275" s="857" t="inlineStr">
        <is>
          <t>直前1</t>
        </is>
      </c>
      <c r="V275" s="857" t="inlineStr">
        <is>
          <t>直前2</t>
        </is>
      </c>
    </row>
    <row r="276">
      <c r="A276" s="857" t="inlineStr">
        <is>
          <t>私大理系|数学|難関|塾</t>
        </is>
      </c>
      <c r="B276" s="857" t="inlineStr">
        <is>
          <t>私大理系</t>
        </is>
      </c>
      <c r="C276" s="857" t="inlineStr">
        <is>
          <t>数学</t>
        </is>
      </c>
      <c r="D276" s="857" t="inlineStr">
        <is>
          <t>難関</t>
        </is>
      </c>
      <c r="E276" s="857" t="inlineStr">
        <is>
          <t>塾</t>
        </is>
      </c>
      <c r="F276" s="857" t="inlineStr">
        <is>
          <t>【塾】青チャート ⅠA・ⅡBC・Ⅲ（例題★4まで）</t>
        </is>
      </c>
      <c r="G276" s="857" t="inlineStr">
        <is>
          <t>←</t>
        </is>
      </c>
      <c r="H276" s="857" t="inlineStr">
        <is>
          <t>←</t>
        </is>
      </c>
      <c r="I276" s="857" t="inlineStr">
        <is>
          <t>←</t>
        </is>
      </c>
      <c r="J276" s="857" t="inlineStr">
        <is>
          <t>←</t>
        </is>
      </c>
      <c r="K276" s="857" t="inlineStr">
        <is>
          <t>←</t>
        </is>
      </c>
      <c r="L276" s="857" t="inlineStr">
        <is>
          <t>←</t>
        </is>
      </c>
      <c r="M276" s="857" t="inlineStr">
        <is>
          <t>←</t>
        </is>
      </c>
      <c r="N276" s="857" t="inlineStr">
        <is>
          <t>←</t>
        </is>
      </c>
      <c r="O276" s="857" t="inlineStr">
        <is>
          <t>【塾】1対1対応の演習</t>
        </is>
      </c>
      <c r="P276" s="857" t="inlineStr">
        <is>
          <t>←</t>
        </is>
      </c>
      <c r="Q276" s="857" t="inlineStr">
        <is>
          <t>【塾】理系数学の良問プラチカ</t>
        </is>
      </c>
      <c r="R276" s="857" t="inlineStr">
        <is>
          <t>←</t>
        </is>
      </c>
      <c r="S276" s="857" t="inlineStr">
        <is>
          <t>←</t>
        </is>
      </c>
      <c r="T276" s="857" t="inlineStr">
        <is>
          <t>←</t>
        </is>
      </c>
      <c r="U276" s="857" t="inlineStr">
        <is>
          <t>【塾】{志望校}過去問</t>
        </is>
      </c>
      <c r="V276" s="857" t="inlineStr">
        <is>
          <t>←</t>
        </is>
      </c>
    </row>
    <row r="277">
      <c r="A277" s="857" t="inlineStr">
        <is>
          <t>私大理系|数学|難関|家</t>
        </is>
      </c>
      <c r="B277" s="857" t="inlineStr">
        <is>
          <t>私大理系</t>
        </is>
      </c>
      <c r="C277" s="857" t="inlineStr">
        <is>
          <t>数学</t>
        </is>
      </c>
      <c r="D277" s="857" t="inlineStr">
        <is>
          <t>難関</t>
        </is>
      </c>
      <c r="E277" s="857" t="inlineStr">
        <is>
          <t>家</t>
        </is>
      </c>
      <c r="F277" s="857" t="inlineStr">
        <is>
          <t>【家】入試数学の基礎問題精講 → 標準問題精講</t>
        </is>
      </c>
      <c r="G277" s="857" t="inlineStr">
        <is>
          <t>←</t>
        </is>
      </c>
      <c r="H277" s="857" t="inlineStr">
        <is>
          <t>←</t>
        </is>
      </c>
      <c r="I277" s="857" t="inlineStr">
        <is>
          <t>←</t>
        </is>
      </c>
      <c r="J277" s="857" t="inlineStr">
        <is>
          <t>←</t>
        </is>
      </c>
      <c r="K277" s="857" t="inlineStr">
        <is>
          <t>←</t>
        </is>
      </c>
      <c r="L277" s="857" t="inlineStr">
        <is>
          <t>←</t>
        </is>
      </c>
      <c r="M277" s="857" t="inlineStr">
        <is>
          <t>←</t>
        </is>
      </c>
      <c r="N277" s="857" t="inlineStr">
        <is>
          <t>←</t>
        </is>
      </c>
      <c r="O277" s="857" t="inlineStr">
        <is>
          <t>←</t>
        </is>
      </c>
      <c r="P277" s="857" t="inlineStr">
        <is>
          <t>←</t>
        </is>
      </c>
      <c r="Q277" s="857" t="inlineStr">
        <is>
          <t>【家】やさしい理系数学</t>
        </is>
      </c>
      <c r="R277" s="857" t="inlineStr">
        <is>
          <t>←</t>
        </is>
      </c>
      <c r="S277" s="857" t="inlineStr">
        <is>
          <t>←</t>
        </is>
      </c>
      <c r="T277" s="857" t="inlineStr">
        <is>
          <t>←</t>
        </is>
      </c>
      <c r="U277" s="857" t="inlineStr">
        <is>
          <t>【家】{志望校}過去問</t>
        </is>
      </c>
      <c r="V277" s="857" t="inlineStr">
        <is>
          <t>←</t>
        </is>
      </c>
    </row>
    <row r="278">
      <c r="A278" s="856" t="inlineStr">
        <is>
          <t>私大理系|物理|基礎|講座</t>
        </is>
      </c>
      <c r="B278" s="856" t="inlineStr">
        <is>
          <t>私大理系</t>
        </is>
      </c>
      <c r="C278" s="856" t="inlineStr">
        <is>
          <t>物理</t>
        </is>
      </c>
      <c r="D278" s="856" t="inlineStr">
        <is>
          <t>基礎</t>
        </is>
      </c>
      <c r="E278" s="856" t="inlineStr">
        <is>
          <t>講座</t>
        </is>
      </c>
      <c r="F278" s="856" t="n"/>
      <c r="G278" s="856" t="inlineStr">
        <is>
          <t>基礎物理</t>
        </is>
      </c>
      <c r="H278" s="856" t="inlineStr">
        <is>
          <t>←</t>
        </is>
      </c>
      <c r="I278" s="856" t="inlineStr">
        <is>
          <t>←</t>
        </is>
      </c>
      <c r="J278" s="856" t="inlineStr">
        <is>
          <t>←</t>
        </is>
      </c>
      <c r="K278" s="856" t="inlineStr">
        <is>
          <t>←</t>
        </is>
      </c>
      <c r="L278" s="856" t="inlineStr">
        <is>
          <t>←</t>
        </is>
      </c>
      <c r="M278" s="856" t="inlineStr">
        <is>
          <t>←</t>
        </is>
      </c>
      <c r="N278" s="856" t="inlineStr">
        <is>
          <t>←</t>
        </is>
      </c>
      <c r="O278" s="856" t="inlineStr">
        <is>
          <t>夏期講習</t>
        </is>
      </c>
      <c r="P278" s="856" t="inlineStr">
        <is>
          <t>←</t>
        </is>
      </c>
      <c r="Q278" s="856" t="inlineStr">
        <is>
          <t>基礎物理</t>
        </is>
      </c>
      <c r="R278" s="856" t="inlineStr">
        <is>
          <t>←</t>
        </is>
      </c>
      <c r="S278" s="856" t="inlineStr">
        <is>
          <t>←</t>
        </is>
      </c>
      <c r="T278" s="856" t="inlineStr">
        <is>
          <t>←</t>
        </is>
      </c>
      <c r="U278" s="856" t="inlineStr">
        <is>
          <t>直前講習</t>
        </is>
      </c>
      <c r="V278" s="856" t="inlineStr">
        <is>
          <t>←</t>
        </is>
      </c>
    </row>
    <row r="279">
      <c r="A279" s="857" t="inlineStr">
        <is>
          <t>私大理系|物理|基礎|回</t>
        </is>
      </c>
      <c r="B279" s="857" t="inlineStr">
        <is>
          <t>私大理系</t>
        </is>
      </c>
      <c r="C279" s="857" t="inlineStr">
        <is>
          <t>物理</t>
        </is>
      </c>
      <c r="D279" s="857" t="inlineStr">
        <is>
          <t>基礎</t>
        </is>
      </c>
      <c r="E279" s="857" t="inlineStr">
        <is>
          <t>回</t>
        </is>
      </c>
      <c r="F279" s="857" t="n"/>
      <c r="G279" s="857" t="inlineStr">
        <is>
          <t>練成1</t>
        </is>
      </c>
      <c r="H279" s="857" t="inlineStr">
        <is>
          <t>練成2</t>
        </is>
      </c>
      <c r="I279" s="857" t="inlineStr">
        <is>
          <t>練成3</t>
        </is>
      </c>
      <c r="J279" s="857" t="inlineStr">
        <is>
          <t>練成4</t>
        </is>
      </c>
      <c r="K279" s="857" t="inlineStr">
        <is>
          <t>練成5</t>
        </is>
      </c>
      <c r="L279" s="857" t="inlineStr">
        <is>
          <t>練成6</t>
        </is>
      </c>
      <c r="M279" s="857" t="inlineStr">
        <is>
          <t>練成7</t>
        </is>
      </c>
      <c r="N279" s="857" t="inlineStr">
        <is>
          <t>練成8</t>
        </is>
      </c>
      <c r="O279" s="857" t="inlineStr">
        <is>
          <t>夏期1</t>
        </is>
      </c>
      <c r="P279" s="857" t="inlineStr">
        <is>
          <t>夏期2</t>
        </is>
      </c>
      <c r="Q279" s="857" t="inlineStr">
        <is>
          <t>実戦1</t>
        </is>
      </c>
      <c r="R279" s="857" t="inlineStr">
        <is>
          <t>実戦2</t>
        </is>
      </c>
      <c r="S279" s="857" t="inlineStr">
        <is>
          <t>実戦3</t>
        </is>
      </c>
      <c r="T279" s="857" t="inlineStr">
        <is>
          <t>実戦4</t>
        </is>
      </c>
      <c r="U279" s="857" t="inlineStr">
        <is>
          <t>直前1</t>
        </is>
      </c>
      <c r="V279" s="857" t="inlineStr">
        <is>
          <t>※</t>
        </is>
      </c>
    </row>
    <row r="280">
      <c r="A280" s="857" t="inlineStr">
        <is>
          <t>私大理系|物理|基礎|塾</t>
        </is>
      </c>
      <c r="B280" s="857" t="inlineStr">
        <is>
          <t>私大理系</t>
        </is>
      </c>
      <c r="C280" s="857" t="inlineStr">
        <is>
          <t>物理</t>
        </is>
      </c>
      <c r="D280" s="857" t="inlineStr">
        <is>
          <t>基礎</t>
        </is>
      </c>
      <c r="E280" s="857" t="inlineStr">
        <is>
          <t>塾</t>
        </is>
      </c>
      <c r="F280" s="857" t="inlineStr">
        <is>
          <t>【塾】物理のエッセンス（力学・波動・熱・電磁気）</t>
        </is>
      </c>
      <c r="G280" s="857" t="inlineStr">
        <is>
          <t>←</t>
        </is>
      </c>
      <c r="H280" s="857" t="inlineStr">
        <is>
          <t>←</t>
        </is>
      </c>
      <c r="I280" s="857" t="inlineStr">
        <is>
          <t>←</t>
        </is>
      </c>
      <c r="J280" s="857" t="inlineStr">
        <is>
          <t>←</t>
        </is>
      </c>
      <c r="K280" s="857" t="inlineStr">
        <is>
          <t>←</t>
        </is>
      </c>
      <c r="L280" s="857" t="inlineStr">
        <is>
          <t>←</t>
        </is>
      </c>
      <c r="M280" s="857" t="inlineStr">
        <is>
          <t>←</t>
        </is>
      </c>
      <c r="N280" s="857" t="inlineStr">
        <is>
          <t>←</t>
        </is>
      </c>
      <c r="O280" s="857" t="inlineStr">
        <is>
          <t>←</t>
        </is>
      </c>
      <c r="P280" s="857" t="inlineStr">
        <is>
          <t>←</t>
        </is>
      </c>
      <c r="Q280" s="857" t="inlineStr">
        <is>
          <t>【塾】良問の風 物理</t>
        </is>
      </c>
      <c r="R280" s="857" t="inlineStr">
        <is>
          <t>←</t>
        </is>
      </c>
      <c r="S280" s="857" t="inlineStr">
        <is>
          <t>←</t>
        </is>
      </c>
      <c r="T280" s="857" t="inlineStr">
        <is>
          <t>←</t>
        </is>
      </c>
      <c r="U280" s="857" t="inlineStr">
        <is>
          <t>【塾】{志望校}過去問</t>
        </is>
      </c>
      <c r="V280" s="857" t="inlineStr">
        <is>
          <t>←</t>
        </is>
      </c>
    </row>
    <row r="281">
      <c r="A281" s="857" t="inlineStr">
        <is>
          <t>私大理系|物理|基礎|家</t>
        </is>
      </c>
      <c r="B281" s="857" t="inlineStr">
        <is>
          <t>私大理系</t>
        </is>
      </c>
      <c r="C281" s="857" t="inlineStr">
        <is>
          <t>物理</t>
        </is>
      </c>
      <c r="D281" s="857" t="inlineStr">
        <is>
          <t>基礎</t>
        </is>
      </c>
      <c r="E281" s="857" t="inlineStr">
        <is>
          <t>家</t>
        </is>
      </c>
      <c r="F281" s="857" t="inlineStr">
        <is>
          <t>【家】宇宙一わかりやすい高校物理（復習）</t>
        </is>
      </c>
      <c r="G281" s="857" t="inlineStr">
        <is>
          <t>←</t>
        </is>
      </c>
      <c r="H281" s="857" t="inlineStr">
        <is>
          <t>←</t>
        </is>
      </c>
      <c r="I281" s="857" t="inlineStr">
        <is>
          <t>←</t>
        </is>
      </c>
      <c r="J281" s="857" t="inlineStr">
        <is>
          <t>←</t>
        </is>
      </c>
      <c r="K281" s="857" t="inlineStr">
        <is>
          <t>←</t>
        </is>
      </c>
      <c r="L281" s="857" t="inlineStr">
        <is>
          <t>←</t>
        </is>
      </c>
      <c r="M281" s="857" t="inlineStr">
        <is>
          <t>←</t>
        </is>
      </c>
      <c r="N281" s="857" t="inlineStr">
        <is>
          <t>←</t>
        </is>
      </c>
      <c r="O281" s="857" t="inlineStr">
        <is>
          <t>←</t>
        </is>
      </c>
      <c r="P281" s="857" t="inlineStr">
        <is>
          <t>←</t>
        </is>
      </c>
      <c r="Q281" s="857" t="inlineStr">
        <is>
          <t>【家】物理の問題集で演習</t>
        </is>
      </c>
      <c r="R281" s="857" t="inlineStr">
        <is>
          <t>←</t>
        </is>
      </c>
      <c r="S281" s="857" t="inlineStr">
        <is>
          <t>←</t>
        </is>
      </c>
      <c r="T281" s="857" t="inlineStr">
        <is>
          <t>←</t>
        </is>
      </c>
      <c r="U281" s="857" t="inlineStr">
        <is>
          <t>【家】{志望校}過去問</t>
        </is>
      </c>
      <c r="V281" s="857" t="inlineStr">
        <is>
          <t>←</t>
        </is>
      </c>
    </row>
    <row r="282">
      <c r="A282" s="856" t="inlineStr">
        <is>
          <t>私大理系|物理|標準|講座</t>
        </is>
      </c>
      <c r="B282" s="856" t="inlineStr">
        <is>
          <t>私大理系</t>
        </is>
      </c>
      <c r="C282" s="856" t="inlineStr">
        <is>
          <t>物理</t>
        </is>
      </c>
      <c r="D282" s="856" t="inlineStr">
        <is>
          <t>標準</t>
        </is>
      </c>
      <c r="E282" s="856" t="inlineStr">
        <is>
          <t>講座</t>
        </is>
      </c>
      <c r="F282" s="856" t="n"/>
      <c r="G282" s="856" t="inlineStr">
        <is>
          <t>標準物理</t>
        </is>
      </c>
      <c r="H282" s="856" t="inlineStr">
        <is>
          <t>←</t>
        </is>
      </c>
      <c r="I282" s="856" t="inlineStr">
        <is>
          <t>←</t>
        </is>
      </c>
      <c r="J282" s="856" t="inlineStr">
        <is>
          <t>←</t>
        </is>
      </c>
      <c r="K282" s="856" t="inlineStr">
        <is>
          <t>←</t>
        </is>
      </c>
      <c r="L282" s="856" t="inlineStr">
        <is>
          <t>←</t>
        </is>
      </c>
      <c r="M282" s="856" t="inlineStr">
        <is>
          <t>←</t>
        </is>
      </c>
      <c r="N282" s="856" t="inlineStr">
        <is>
          <t>←</t>
        </is>
      </c>
      <c r="O282" s="856" t="inlineStr">
        <is>
          <t>夏期講習</t>
        </is>
      </c>
      <c r="P282" s="856" t="inlineStr">
        <is>
          <t>←</t>
        </is>
      </c>
      <c r="Q282" s="856" t="inlineStr">
        <is>
          <t>標準物理</t>
        </is>
      </c>
      <c r="R282" s="856" t="inlineStr">
        <is>
          <t>←</t>
        </is>
      </c>
      <c r="S282" s="856" t="inlineStr">
        <is>
          <t>←</t>
        </is>
      </c>
      <c r="T282" s="856" t="inlineStr">
        <is>
          <t>←</t>
        </is>
      </c>
      <c r="U282" s="856" t="inlineStr">
        <is>
          <t>直前講習</t>
        </is>
      </c>
      <c r="V282" s="856" t="inlineStr">
        <is>
          <t>←</t>
        </is>
      </c>
    </row>
    <row r="283">
      <c r="A283" s="857" t="inlineStr">
        <is>
          <t>私大理系|物理|標準|回</t>
        </is>
      </c>
      <c r="B283" s="857" t="inlineStr">
        <is>
          <t>私大理系</t>
        </is>
      </c>
      <c r="C283" s="857" t="inlineStr">
        <is>
          <t>物理</t>
        </is>
      </c>
      <c r="D283" s="857" t="inlineStr">
        <is>
          <t>標準</t>
        </is>
      </c>
      <c r="E283" s="857" t="inlineStr">
        <is>
          <t>回</t>
        </is>
      </c>
      <c r="F283" s="857" t="n"/>
      <c r="G283" s="857" t="inlineStr">
        <is>
          <t>練成1</t>
        </is>
      </c>
      <c r="H283" s="857" t="inlineStr">
        <is>
          <t>練成2</t>
        </is>
      </c>
      <c r="I283" s="857" t="inlineStr">
        <is>
          <t>練成3</t>
        </is>
      </c>
      <c r="J283" s="857" t="inlineStr">
        <is>
          <t>練成4</t>
        </is>
      </c>
      <c r="K283" s="857" t="inlineStr">
        <is>
          <t>練成5</t>
        </is>
      </c>
      <c r="L283" s="857" t="inlineStr">
        <is>
          <t>練成6</t>
        </is>
      </c>
      <c r="M283" s="857" t="inlineStr">
        <is>
          <t>練成7</t>
        </is>
      </c>
      <c r="N283" s="857" t="inlineStr">
        <is>
          <t>練成8</t>
        </is>
      </c>
      <c r="O283" s="857" t="inlineStr">
        <is>
          <t>夏期1</t>
        </is>
      </c>
      <c r="P283" s="857" t="inlineStr">
        <is>
          <t>夏期2</t>
        </is>
      </c>
      <c r="Q283" s="857" t="inlineStr">
        <is>
          <t>実戦1</t>
        </is>
      </c>
      <c r="R283" s="857" t="inlineStr">
        <is>
          <t>実戦2</t>
        </is>
      </c>
      <c r="S283" s="857" t="inlineStr">
        <is>
          <t>実戦3</t>
        </is>
      </c>
      <c r="T283" s="857" t="inlineStr">
        <is>
          <t>実戦4</t>
        </is>
      </c>
      <c r="U283" s="857" t="inlineStr">
        <is>
          <t>直前1</t>
        </is>
      </c>
      <c r="V283" s="857" t="inlineStr">
        <is>
          <t>※</t>
        </is>
      </c>
    </row>
    <row r="284">
      <c r="A284" s="857" t="inlineStr">
        <is>
          <t>私大理系|物理|標準|塾</t>
        </is>
      </c>
      <c r="B284" s="857" t="inlineStr">
        <is>
          <t>私大理系</t>
        </is>
      </c>
      <c r="C284" s="857" t="inlineStr">
        <is>
          <t>物理</t>
        </is>
      </c>
      <c r="D284" s="857" t="inlineStr">
        <is>
          <t>標準</t>
        </is>
      </c>
      <c r="E284" s="857" t="inlineStr">
        <is>
          <t>塾</t>
        </is>
      </c>
      <c r="F284" s="857" t="inlineStr">
        <is>
          <t>【塾】物理のエッセンス → 良問の風 物理</t>
        </is>
      </c>
      <c r="G284" s="857" t="inlineStr">
        <is>
          <t>←</t>
        </is>
      </c>
      <c r="H284" s="857" t="inlineStr">
        <is>
          <t>←</t>
        </is>
      </c>
      <c r="I284" s="857" t="inlineStr">
        <is>
          <t>←</t>
        </is>
      </c>
      <c r="J284" s="857" t="inlineStr">
        <is>
          <t>←</t>
        </is>
      </c>
      <c r="K284" s="857" t="inlineStr">
        <is>
          <t>←</t>
        </is>
      </c>
      <c r="L284" s="857" t="inlineStr">
        <is>
          <t>←</t>
        </is>
      </c>
      <c r="M284" s="857" t="inlineStr">
        <is>
          <t>←</t>
        </is>
      </c>
      <c r="N284" s="857" t="inlineStr">
        <is>
          <t>←</t>
        </is>
      </c>
      <c r="O284" s="857" t="inlineStr">
        <is>
          <t>←</t>
        </is>
      </c>
      <c r="P284" s="857" t="inlineStr">
        <is>
          <t>←</t>
        </is>
      </c>
      <c r="Q284" s="857" t="inlineStr">
        <is>
          <t>【塾】物理 重要問題集（A問題）</t>
        </is>
      </c>
      <c r="R284" s="857" t="inlineStr">
        <is>
          <t>←</t>
        </is>
      </c>
      <c r="S284" s="857" t="inlineStr">
        <is>
          <t>←</t>
        </is>
      </c>
      <c r="T284" s="857" t="inlineStr">
        <is>
          <t>←</t>
        </is>
      </c>
      <c r="U284" s="857" t="inlineStr">
        <is>
          <t>【塾】{志望校}過去問</t>
        </is>
      </c>
      <c r="V284" s="857" t="inlineStr">
        <is>
          <t>←</t>
        </is>
      </c>
    </row>
    <row r="285">
      <c r="A285" s="857" t="inlineStr">
        <is>
          <t>私大理系|物理|標準|家</t>
        </is>
      </c>
      <c r="B285" s="857" t="inlineStr">
        <is>
          <t>私大理系</t>
        </is>
      </c>
      <c r="C285" s="857" t="inlineStr">
        <is>
          <t>物理</t>
        </is>
      </c>
      <c r="D285" s="857" t="inlineStr">
        <is>
          <t>標準</t>
        </is>
      </c>
      <c r="E285" s="857" t="inlineStr">
        <is>
          <t>家</t>
        </is>
      </c>
      <c r="F285" s="857" t="inlineStr">
        <is>
          <t>【家】物理のエッセンス（反復）</t>
        </is>
      </c>
      <c r="G285" s="857" t="inlineStr">
        <is>
          <t>←</t>
        </is>
      </c>
      <c r="H285" s="857" t="inlineStr">
        <is>
          <t>←</t>
        </is>
      </c>
      <c r="I285" s="857" t="inlineStr">
        <is>
          <t>←</t>
        </is>
      </c>
      <c r="J285" s="857" t="inlineStr">
        <is>
          <t>←</t>
        </is>
      </c>
      <c r="K285" s="857" t="inlineStr">
        <is>
          <t>←</t>
        </is>
      </c>
      <c r="L285" s="857" t="inlineStr">
        <is>
          <t>←</t>
        </is>
      </c>
      <c r="M285" s="857" t="inlineStr">
        <is>
          <t>←</t>
        </is>
      </c>
      <c r="N285" s="857" t="inlineStr">
        <is>
          <t>←</t>
        </is>
      </c>
      <c r="O285" s="857" t="inlineStr">
        <is>
          <t>←</t>
        </is>
      </c>
      <c r="P285" s="857" t="inlineStr">
        <is>
          <t>←</t>
        </is>
      </c>
      <c r="Q285" s="857" t="inlineStr">
        <is>
          <t>【家】物理の問題集で演習</t>
        </is>
      </c>
      <c r="R285" s="857" t="inlineStr">
        <is>
          <t>←</t>
        </is>
      </c>
      <c r="S285" s="857" t="inlineStr">
        <is>
          <t>←</t>
        </is>
      </c>
      <c r="T285" s="857" t="inlineStr">
        <is>
          <t>←</t>
        </is>
      </c>
      <c r="U285" s="857" t="inlineStr">
        <is>
          <t>【家】{志望校}過去問</t>
        </is>
      </c>
      <c r="V285" s="857" t="inlineStr">
        <is>
          <t>←</t>
        </is>
      </c>
    </row>
    <row r="286">
      <c r="A286" s="856" t="inlineStr">
        <is>
          <t>私大理系|物理|難関|講座</t>
        </is>
      </c>
      <c r="B286" s="856" t="inlineStr">
        <is>
          <t>私大理系</t>
        </is>
      </c>
      <c r="C286" s="856" t="inlineStr">
        <is>
          <t>物理</t>
        </is>
      </c>
      <c r="D286" s="856" t="inlineStr">
        <is>
          <t>難関</t>
        </is>
      </c>
      <c r="E286" s="856" t="inlineStr">
        <is>
          <t>講座</t>
        </is>
      </c>
      <c r="F286" s="856" t="n"/>
      <c r="G286" s="856" t="inlineStr">
        <is>
          <t>難関大物理</t>
        </is>
      </c>
      <c r="H286" s="856" t="inlineStr">
        <is>
          <t>←</t>
        </is>
      </c>
      <c r="I286" s="856" t="inlineStr">
        <is>
          <t>←</t>
        </is>
      </c>
      <c r="J286" s="856" t="inlineStr">
        <is>
          <t>←</t>
        </is>
      </c>
      <c r="K286" s="856" t="inlineStr">
        <is>
          <t>←</t>
        </is>
      </c>
      <c r="L286" s="856" t="inlineStr">
        <is>
          <t>←</t>
        </is>
      </c>
      <c r="M286" s="856" t="inlineStr">
        <is>
          <t>←</t>
        </is>
      </c>
      <c r="N286" s="856" t="inlineStr">
        <is>
          <t>←</t>
        </is>
      </c>
      <c r="O286" s="856" t="inlineStr">
        <is>
          <t>夏期講習</t>
        </is>
      </c>
      <c r="P286" s="856" t="inlineStr">
        <is>
          <t>←</t>
        </is>
      </c>
      <c r="Q286" s="856" t="inlineStr">
        <is>
          <t>難関大物理</t>
        </is>
      </c>
      <c r="R286" s="856" t="inlineStr">
        <is>
          <t>←</t>
        </is>
      </c>
      <c r="S286" s="856" t="inlineStr">
        <is>
          <t>←</t>
        </is>
      </c>
      <c r="T286" s="856" t="inlineStr">
        <is>
          <t>←</t>
        </is>
      </c>
      <c r="U286" s="856" t="inlineStr">
        <is>
          <t>直前講習</t>
        </is>
      </c>
      <c r="V286" s="856" t="inlineStr">
        <is>
          <t>←</t>
        </is>
      </c>
    </row>
    <row r="287">
      <c r="A287" s="857" t="inlineStr">
        <is>
          <t>私大理系|物理|難関|回</t>
        </is>
      </c>
      <c r="B287" s="857" t="inlineStr">
        <is>
          <t>私大理系</t>
        </is>
      </c>
      <c r="C287" s="857" t="inlineStr">
        <is>
          <t>物理</t>
        </is>
      </c>
      <c r="D287" s="857" t="inlineStr">
        <is>
          <t>難関</t>
        </is>
      </c>
      <c r="E287" s="857" t="inlineStr">
        <is>
          <t>回</t>
        </is>
      </c>
      <c r="F287" s="857" t="n"/>
      <c r="G287" s="857" t="inlineStr">
        <is>
          <t>練成1</t>
        </is>
      </c>
      <c r="H287" s="857" t="inlineStr">
        <is>
          <t>練成2</t>
        </is>
      </c>
      <c r="I287" s="857" t="inlineStr">
        <is>
          <t>練成3</t>
        </is>
      </c>
      <c r="J287" s="857" t="inlineStr">
        <is>
          <t>練成4</t>
        </is>
      </c>
      <c r="K287" s="857" t="inlineStr">
        <is>
          <t>練成5</t>
        </is>
      </c>
      <c r="L287" s="857" t="inlineStr">
        <is>
          <t>練成6</t>
        </is>
      </c>
      <c r="M287" s="857" t="inlineStr">
        <is>
          <t>練成7</t>
        </is>
      </c>
      <c r="N287" s="857" t="inlineStr">
        <is>
          <t>練成8</t>
        </is>
      </c>
      <c r="O287" s="857" t="inlineStr">
        <is>
          <t>夏期1</t>
        </is>
      </c>
      <c r="P287" s="857" t="inlineStr">
        <is>
          <t>夏期2</t>
        </is>
      </c>
      <c r="Q287" s="857" t="inlineStr">
        <is>
          <t>実戦1</t>
        </is>
      </c>
      <c r="R287" s="857" t="inlineStr">
        <is>
          <t>実戦2</t>
        </is>
      </c>
      <c r="S287" s="857" t="inlineStr">
        <is>
          <t>実戦3</t>
        </is>
      </c>
      <c r="T287" s="857" t="inlineStr">
        <is>
          <t>実戦4</t>
        </is>
      </c>
      <c r="U287" s="857" t="inlineStr">
        <is>
          <t>直前1</t>
        </is>
      </c>
      <c r="V287" s="857" t="inlineStr">
        <is>
          <t>※</t>
        </is>
      </c>
    </row>
    <row r="288">
      <c r="A288" s="857" t="inlineStr">
        <is>
          <t>私大理系|物理|難関|塾</t>
        </is>
      </c>
      <c r="B288" s="857" t="inlineStr">
        <is>
          <t>私大理系</t>
        </is>
      </c>
      <c r="C288" s="857" t="inlineStr">
        <is>
          <t>物理</t>
        </is>
      </c>
      <c r="D288" s="857" t="inlineStr">
        <is>
          <t>難関</t>
        </is>
      </c>
      <c r="E288" s="857" t="inlineStr">
        <is>
          <t>塾</t>
        </is>
      </c>
      <c r="F288" s="857" t="inlineStr">
        <is>
          <t>【塾】良問の風 物理</t>
        </is>
      </c>
      <c r="G288" s="857" t="inlineStr">
        <is>
          <t>←</t>
        </is>
      </c>
      <c r="H288" s="857" t="inlineStr">
        <is>
          <t>←</t>
        </is>
      </c>
      <c r="I288" s="857" t="inlineStr">
        <is>
          <t>←</t>
        </is>
      </c>
      <c r="J288" s="857" t="inlineStr">
        <is>
          <t>←</t>
        </is>
      </c>
      <c r="K288" s="857" t="inlineStr">
        <is>
          <t>←</t>
        </is>
      </c>
      <c r="L288" s="857" t="inlineStr">
        <is>
          <t>←</t>
        </is>
      </c>
      <c r="M288" s="857" t="inlineStr">
        <is>
          <t>←</t>
        </is>
      </c>
      <c r="N288" s="857" t="inlineStr">
        <is>
          <t>←</t>
        </is>
      </c>
      <c r="O288" s="857" t="inlineStr">
        <is>
          <t>←</t>
        </is>
      </c>
      <c r="P288" s="857" t="inlineStr">
        <is>
          <t>←</t>
        </is>
      </c>
      <c r="Q288" s="857" t="inlineStr">
        <is>
          <t>【塾】名問の森 物理</t>
        </is>
      </c>
      <c r="R288" s="857" t="inlineStr">
        <is>
          <t>←</t>
        </is>
      </c>
      <c r="S288" s="857" t="inlineStr">
        <is>
          <t>←</t>
        </is>
      </c>
      <c r="T288" s="857" t="inlineStr">
        <is>
          <t>←</t>
        </is>
      </c>
      <c r="U288" s="857" t="inlineStr">
        <is>
          <t>【塾】{志望校}過去問</t>
        </is>
      </c>
      <c r="V288" s="857" t="inlineStr">
        <is>
          <t>←</t>
        </is>
      </c>
    </row>
    <row r="289">
      <c r="A289" s="857" t="inlineStr">
        <is>
          <t>私大理系|物理|難関|家</t>
        </is>
      </c>
      <c r="B289" s="857" t="inlineStr">
        <is>
          <t>私大理系</t>
        </is>
      </c>
      <c r="C289" s="857" t="inlineStr">
        <is>
          <t>物理</t>
        </is>
      </c>
      <c r="D289" s="857" t="inlineStr">
        <is>
          <t>難関</t>
        </is>
      </c>
      <c r="E289" s="857" t="inlineStr">
        <is>
          <t>家</t>
        </is>
      </c>
      <c r="F289" s="857" t="inlineStr">
        <is>
          <t>【家】物理のエッセンス（反復）</t>
        </is>
      </c>
      <c r="G289" s="857" t="inlineStr">
        <is>
          <t>←</t>
        </is>
      </c>
      <c r="H289" s="857" t="inlineStr">
        <is>
          <t>←</t>
        </is>
      </c>
      <c r="I289" s="857" t="inlineStr">
        <is>
          <t>←</t>
        </is>
      </c>
      <c r="J289" s="857" t="inlineStr">
        <is>
          <t>←</t>
        </is>
      </c>
      <c r="K289" s="857" t="inlineStr">
        <is>
          <t>←</t>
        </is>
      </c>
      <c r="L289" s="857" t="inlineStr">
        <is>
          <t>←</t>
        </is>
      </c>
      <c r="M289" s="857" t="inlineStr">
        <is>
          <t>←</t>
        </is>
      </c>
      <c r="N289" s="857" t="inlineStr">
        <is>
          <t>←</t>
        </is>
      </c>
      <c r="O289" s="857" t="inlineStr">
        <is>
          <t>←</t>
        </is>
      </c>
      <c r="P289" s="857" t="inlineStr">
        <is>
          <t>←</t>
        </is>
      </c>
      <c r="Q289" s="857" t="inlineStr">
        <is>
          <t>【家】物理の問題集で演習</t>
        </is>
      </c>
      <c r="R289" s="857" t="inlineStr">
        <is>
          <t>←</t>
        </is>
      </c>
      <c r="S289" s="857" t="inlineStr">
        <is>
          <t>←</t>
        </is>
      </c>
      <c r="T289" s="857" t="inlineStr">
        <is>
          <t>←</t>
        </is>
      </c>
      <c r="U289" s="857" t="inlineStr">
        <is>
          <t>【家】{志望校}過去問</t>
        </is>
      </c>
      <c r="V289" s="857" t="inlineStr">
        <is>
          <t>←</t>
        </is>
      </c>
    </row>
    <row r="290">
      <c r="A290" s="856" t="inlineStr">
        <is>
          <t>私大理系|化学|基礎|講座</t>
        </is>
      </c>
      <c r="B290" s="856" t="inlineStr">
        <is>
          <t>私大理系</t>
        </is>
      </c>
      <c r="C290" s="856" t="inlineStr">
        <is>
          <t>化学</t>
        </is>
      </c>
      <c r="D290" s="856" t="inlineStr">
        <is>
          <t>基礎</t>
        </is>
      </c>
      <c r="E290" s="856" t="inlineStr">
        <is>
          <t>講座</t>
        </is>
      </c>
      <c r="F290" s="856" t="n"/>
      <c r="G290" s="856" t="inlineStr">
        <is>
          <t>基礎化学</t>
        </is>
      </c>
      <c r="H290" s="856" t="inlineStr">
        <is>
          <t>←</t>
        </is>
      </c>
      <c r="I290" s="856" t="inlineStr">
        <is>
          <t>←</t>
        </is>
      </c>
      <c r="J290" s="856" t="inlineStr">
        <is>
          <t>←</t>
        </is>
      </c>
      <c r="K290" s="856" t="inlineStr">
        <is>
          <t>←</t>
        </is>
      </c>
      <c r="L290" s="856" t="inlineStr">
        <is>
          <t>←</t>
        </is>
      </c>
      <c r="M290" s="856" t="inlineStr">
        <is>
          <t>←</t>
        </is>
      </c>
      <c r="N290" s="856" t="inlineStr">
        <is>
          <t>←</t>
        </is>
      </c>
      <c r="O290" s="856" t="inlineStr">
        <is>
          <t>夏期講習</t>
        </is>
      </c>
      <c r="P290" s="856" t="inlineStr">
        <is>
          <t>←</t>
        </is>
      </c>
      <c r="Q290" s="856" t="inlineStr">
        <is>
          <t>基礎化学</t>
        </is>
      </c>
      <c r="R290" s="856" t="inlineStr">
        <is>
          <t>←</t>
        </is>
      </c>
      <c r="S290" s="856" t="inlineStr">
        <is>
          <t>←</t>
        </is>
      </c>
      <c r="T290" s="856" t="inlineStr">
        <is>
          <t>←</t>
        </is>
      </c>
      <c r="U290" s="856" t="inlineStr">
        <is>
          <t>直前講習</t>
        </is>
      </c>
      <c r="V290" s="856" t="inlineStr">
        <is>
          <t>←</t>
        </is>
      </c>
    </row>
    <row r="291">
      <c r="A291" s="857" t="inlineStr">
        <is>
          <t>私大理系|化学|基礎|回</t>
        </is>
      </c>
      <c r="B291" s="857" t="inlineStr">
        <is>
          <t>私大理系</t>
        </is>
      </c>
      <c r="C291" s="857" t="inlineStr">
        <is>
          <t>化学</t>
        </is>
      </c>
      <c r="D291" s="857" t="inlineStr">
        <is>
          <t>基礎</t>
        </is>
      </c>
      <c r="E291" s="857" t="inlineStr">
        <is>
          <t>回</t>
        </is>
      </c>
      <c r="F291" s="857" t="n"/>
      <c r="G291" s="857" t="inlineStr">
        <is>
          <t>練成1</t>
        </is>
      </c>
      <c r="H291" s="857" t="inlineStr">
        <is>
          <t>練成2</t>
        </is>
      </c>
      <c r="I291" s="857" t="inlineStr">
        <is>
          <t>練成3</t>
        </is>
      </c>
      <c r="J291" s="857" t="inlineStr">
        <is>
          <t>練成4</t>
        </is>
      </c>
      <c r="K291" s="857" t="inlineStr">
        <is>
          <t>練成5</t>
        </is>
      </c>
      <c r="L291" s="857" t="inlineStr">
        <is>
          <t>練成6</t>
        </is>
      </c>
      <c r="M291" s="857" t="inlineStr">
        <is>
          <t>練成7</t>
        </is>
      </c>
      <c r="N291" s="857" t="inlineStr">
        <is>
          <t>練成8</t>
        </is>
      </c>
      <c r="O291" s="857" t="inlineStr">
        <is>
          <t>夏期1</t>
        </is>
      </c>
      <c r="P291" s="857" t="inlineStr">
        <is>
          <t>夏期2</t>
        </is>
      </c>
      <c r="Q291" s="857" t="inlineStr">
        <is>
          <t>実戦1</t>
        </is>
      </c>
      <c r="R291" s="857" t="inlineStr">
        <is>
          <t>実戦2</t>
        </is>
      </c>
      <c r="S291" s="857" t="inlineStr">
        <is>
          <t>実戦3</t>
        </is>
      </c>
      <c r="T291" s="857" t="inlineStr">
        <is>
          <t>実戦4</t>
        </is>
      </c>
      <c r="U291" s="857" t="inlineStr">
        <is>
          <t>直前1</t>
        </is>
      </c>
      <c r="V291" s="857" t="inlineStr">
        <is>
          <t>※</t>
        </is>
      </c>
    </row>
    <row r="292">
      <c r="A292" s="857" t="inlineStr">
        <is>
          <t>私大理系|化学|基礎|塾</t>
        </is>
      </c>
      <c r="B292" s="857" t="inlineStr">
        <is>
          <t>私大理系</t>
        </is>
      </c>
      <c r="C292" s="857" t="inlineStr">
        <is>
          <t>化学</t>
        </is>
      </c>
      <c r="D292" s="857" t="inlineStr">
        <is>
          <t>基礎</t>
        </is>
      </c>
      <c r="E292" s="857" t="inlineStr">
        <is>
          <t>塾</t>
        </is>
      </c>
      <c r="F292" s="857" t="inlineStr">
        <is>
          <t>【塾】鎌田の理論化学の講義＋セミナー化学</t>
        </is>
      </c>
      <c r="G292" s="857" t="inlineStr">
        <is>
          <t>←</t>
        </is>
      </c>
      <c r="H292" s="857" t="inlineStr">
        <is>
          <t>←</t>
        </is>
      </c>
      <c r="I292" s="857" t="inlineStr">
        <is>
          <t>←</t>
        </is>
      </c>
      <c r="J292" s="857" t="inlineStr">
        <is>
          <t>←</t>
        </is>
      </c>
      <c r="K292" s="857" t="inlineStr">
        <is>
          <t>←</t>
        </is>
      </c>
      <c r="L292" s="857" t="inlineStr">
        <is>
          <t>←</t>
        </is>
      </c>
      <c r="M292" s="857" t="inlineStr">
        <is>
          <t>←</t>
        </is>
      </c>
      <c r="N292" s="857" t="inlineStr">
        <is>
          <t>←</t>
        </is>
      </c>
      <c r="O292" s="857" t="inlineStr">
        <is>
          <t>←</t>
        </is>
      </c>
      <c r="P292" s="857" t="inlineStr">
        <is>
          <t>←</t>
        </is>
      </c>
      <c r="Q292" s="857" t="inlineStr">
        <is>
          <t>【塾】化学 基礎問題精講</t>
        </is>
      </c>
      <c r="R292" s="857" t="inlineStr">
        <is>
          <t>←</t>
        </is>
      </c>
      <c r="S292" s="857" t="inlineStr">
        <is>
          <t>←</t>
        </is>
      </c>
      <c r="T292" s="857" t="inlineStr">
        <is>
          <t>←</t>
        </is>
      </c>
      <c r="U292" s="857" t="inlineStr">
        <is>
          <t>【塾】{志望校}過去問</t>
        </is>
      </c>
      <c r="V292" s="857" t="inlineStr">
        <is>
          <t>←</t>
        </is>
      </c>
    </row>
    <row r="293">
      <c r="A293" s="857" t="inlineStr">
        <is>
          <t>私大理系|化学|基礎|家</t>
        </is>
      </c>
      <c r="B293" s="857" t="inlineStr">
        <is>
          <t>私大理系</t>
        </is>
      </c>
      <c r="C293" s="857" t="inlineStr">
        <is>
          <t>化学</t>
        </is>
      </c>
      <c r="D293" s="857" t="inlineStr">
        <is>
          <t>基礎</t>
        </is>
      </c>
      <c r="E293" s="857" t="inlineStr">
        <is>
          <t>家</t>
        </is>
      </c>
      <c r="F293" s="857" t="inlineStr">
        <is>
          <t>【家】セミナー化学（基本問題の反復）</t>
        </is>
      </c>
      <c r="G293" s="857" t="inlineStr">
        <is>
          <t>←</t>
        </is>
      </c>
      <c r="H293" s="857" t="inlineStr">
        <is>
          <t>←</t>
        </is>
      </c>
      <c r="I293" s="857" t="inlineStr">
        <is>
          <t>←</t>
        </is>
      </c>
      <c r="J293" s="857" t="inlineStr">
        <is>
          <t>←</t>
        </is>
      </c>
      <c r="K293" s="857" t="inlineStr">
        <is>
          <t>←</t>
        </is>
      </c>
      <c r="L293" s="857" t="inlineStr">
        <is>
          <t>←</t>
        </is>
      </c>
      <c r="M293" s="857" t="inlineStr">
        <is>
          <t>←</t>
        </is>
      </c>
      <c r="N293" s="857" t="inlineStr">
        <is>
          <t>←</t>
        </is>
      </c>
      <c r="O293" s="857" t="inlineStr">
        <is>
          <t>←</t>
        </is>
      </c>
      <c r="P293" s="857" t="inlineStr">
        <is>
          <t>←</t>
        </is>
      </c>
      <c r="Q293" s="857" t="inlineStr">
        <is>
          <t>【家】化学の問題集で演習</t>
        </is>
      </c>
      <c r="R293" s="857" t="inlineStr">
        <is>
          <t>←</t>
        </is>
      </c>
      <c r="S293" s="857" t="inlineStr">
        <is>
          <t>←</t>
        </is>
      </c>
      <c r="T293" s="857" t="inlineStr">
        <is>
          <t>←</t>
        </is>
      </c>
      <c r="U293" s="857" t="inlineStr">
        <is>
          <t>【家】{志望校}過去問</t>
        </is>
      </c>
      <c r="V293" s="857" t="inlineStr">
        <is>
          <t>←</t>
        </is>
      </c>
    </row>
    <row r="294">
      <c r="A294" s="856" t="inlineStr">
        <is>
          <t>私大理系|化学|標準|講座</t>
        </is>
      </c>
      <c r="B294" s="856" t="inlineStr">
        <is>
          <t>私大理系</t>
        </is>
      </c>
      <c r="C294" s="856" t="inlineStr">
        <is>
          <t>化学</t>
        </is>
      </c>
      <c r="D294" s="856" t="inlineStr">
        <is>
          <t>標準</t>
        </is>
      </c>
      <c r="E294" s="856" t="inlineStr">
        <is>
          <t>講座</t>
        </is>
      </c>
      <c r="F294" s="856" t="n"/>
      <c r="G294" s="856" t="inlineStr">
        <is>
          <t>標準化学</t>
        </is>
      </c>
      <c r="H294" s="856" t="inlineStr">
        <is>
          <t>←</t>
        </is>
      </c>
      <c r="I294" s="856" t="inlineStr">
        <is>
          <t>←</t>
        </is>
      </c>
      <c r="J294" s="856" t="inlineStr">
        <is>
          <t>←</t>
        </is>
      </c>
      <c r="K294" s="856" t="inlineStr">
        <is>
          <t>←</t>
        </is>
      </c>
      <c r="L294" s="856" t="inlineStr">
        <is>
          <t>←</t>
        </is>
      </c>
      <c r="M294" s="856" t="inlineStr">
        <is>
          <t>←</t>
        </is>
      </c>
      <c r="N294" s="856" t="inlineStr">
        <is>
          <t>←</t>
        </is>
      </c>
      <c r="O294" s="856" t="inlineStr">
        <is>
          <t>夏期講習</t>
        </is>
      </c>
      <c r="P294" s="856" t="inlineStr">
        <is>
          <t>←</t>
        </is>
      </c>
      <c r="Q294" s="856" t="inlineStr">
        <is>
          <t>標準化学</t>
        </is>
      </c>
      <c r="R294" s="856" t="inlineStr">
        <is>
          <t>←</t>
        </is>
      </c>
      <c r="S294" s="856" t="inlineStr">
        <is>
          <t>←</t>
        </is>
      </c>
      <c r="T294" s="856" t="inlineStr">
        <is>
          <t>←</t>
        </is>
      </c>
      <c r="U294" s="856" t="inlineStr">
        <is>
          <t>直前講習</t>
        </is>
      </c>
      <c r="V294" s="856" t="inlineStr">
        <is>
          <t>←</t>
        </is>
      </c>
    </row>
    <row r="295">
      <c r="A295" s="857" t="inlineStr">
        <is>
          <t>私大理系|化学|標準|回</t>
        </is>
      </c>
      <c r="B295" s="857" t="inlineStr">
        <is>
          <t>私大理系</t>
        </is>
      </c>
      <c r="C295" s="857" t="inlineStr">
        <is>
          <t>化学</t>
        </is>
      </c>
      <c r="D295" s="857" t="inlineStr">
        <is>
          <t>標準</t>
        </is>
      </c>
      <c r="E295" s="857" t="inlineStr">
        <is>
          <t>回</t>
        </is>
      </c>
      <c r="F295" s="857" t="n"/>
      <c r="G295" s="857" t="inlineStr">
        <is>
          <t>練成1</t>
        </is>
      </c>
      <c r="H295" s="857" t="inlineStr">
        <is>
          <t>練成2</t>
        </is>
      </c>
      <c r="I295" s="857" t="inlineStr">
        <is>
          <t>練成3</t>
        </is>
      </c>
      <c r="J295" s="857" t="inlineStr">
        <is>
          <t>練成4</t>
        </is>
      </c>
      <c r="K295" s="857" t="inlineStr">
        <is>
          <t>練成5</t>
        </is>
      </c>
      <c r="L295" s="857" t="inlineStr">
        <is>
          <t>練成6</t>
        </is>
      </c>
      <c r="M295" s="857" t="inlineStr">
        <is>
          <t>練成7</t>
        </is>
      </c>
      <c r="N295" s="857" t="inlineStr">
        <is>
          <t>練成8</t>
        </is>
      </c>
      <c r="O295" s="857" t="inlineStr">
        <is>
          <t>夏期1</t>
        </is>
      </c>
      <c r="P295" s="857" t="inlineStr">
        <is>
          <t>夏期2</t>
        </is>
      </c>
      <c r="Q295" s="857" t="inlineStr">
        <is>
          <t>実戦1</t>
        </is>
      </c>
      <c r="R295" s="857" t="inlineStr">
        <is>
          <t>実戦2</t>
        </is>
      </c>
      <c r="S295" s="857" t="inlineStr">
        <is>
          <t>実戦3</t>
        </is>
      </c>
      <c r="T295" s="857" t="inlineStr">
        <is>
          <t>実戦4</t>
        </is>
      </c>
      <c r="U295" s="857" t="inlineStr">
        <is>
          <t>直前1</t>
        </is>
      </c>
      <c r="V295" s="857" t="inlineStr">
        <is>
          <t>※</t>
        </is>
      </c>
    </row>
    <row r="296">
      <c r="A296" s="857" t="inlineStr">
        <is>
          <t>私大理系|化学|標準|塾</t>
        </is>
      </c>
      <c r="B296" s="857" t="inlineStr">
        <is>
          <t>私大理系</t>
        </is>
      </c>
      <c r="C296" s="857" t="inlineStr">
        <is>
          <t>化学</t>
        </is>
      </c>
      <c r="D296" s="857" t="inlineStr">
        <is>
          <t>標準</t>
        </is>
      </c>
      <c r="E296" s="857" t="inlineStr">
        <is>
          <t>塾</t>
        </is>
      </c>
      <c r="F296" s="857" t="inlineStr">
        <is>
          <t>【塾】化学 基礎問題精講</t>
        </is>
      </c>
      <c r="G296" s="857" t="inlineStr">
        <is>
          <t>←</t>
        </is>
      </c>
      <c r="H296" s="857" t="inlineStr">
        <is>
          <t>←</t>
        </is>
      </c>
      <c r="I296" s="857" t="inlineStr">
        <is>
          <t>←</t>
        </is>
      </c>
      <c r="J296" s="857" t="inlineStr">
        <is>
          <t>←</t>
        </is>
      </c>
      <c r="K296" s="857" t="inlineStr">
        <is>
          <t>←</t>
        </is>
      </c>
      <c r="L296" s="857" t="inlineStr">
        <is>
          <t>←</t>
        </is>
      </c>
      <c r="M296" s="857" t="inlineStr">
        <is>
          <t>←</t>
        </is>
      </c>
      <c r="N296" s="857" t="inlineStr">
        <is>
          <t>←</t>
        </is>
      </c>
      <c r="O296" s="857" t="inlineStr">
        <is>
          <t>←</t>
        </is>
      </c>
      <c r="P296" s="857" t="inlineStr">
        <is>
          <t>←</t>
        </is>
      </c>
      <c r="Q296" s="857" t="inlineStr">
        <is>
          <t>【塾】化学 重要問題集（A問題）</t>
        </is>
      </c>
      <c r="R296" s="857" t="inlineStr">
        <is>
          <t>←</t>
        </is>
      </c>
      <c r="S296" s="857" t="inlineStr">
        <is>
          <t>←</t>
        </is>
      </c>
      <c r="T296" s="857" t="inlineStr">
        <is>
          <t>←</t>
        </is>
      </c>
      <c r="U296" s="857" t="inlineStr">
        <is>
          <t>【塾】{志望校}過去問</t>
        </is>
      </c>
      <c r="V296" s="857" t="inlineStr">
        <is>
          <t>←</t>
        </is>
      </c>
    </row>
    <row r="297">
      <c r="A297" s="857" t="inlineStr">
        <is>
          <t>私大理系|化学|標準|家</t>
        </is>
      </c>
      <c r="B297" s="857" t="inlineStr">
        <is>
          <t>私大理系</t>
        </is>
      </c>
      <c r="C297" s="857" t="inlineStr">
        <is>
          <t>化学</t>
        </is>
      </c>
      <c r="D297" s="857" t="inlineStr">
        <is>
          <t>標準</t>
        </is>
      </c>
      <c r="E297" s="857" t="inlineStr">
        <is>
          <t>家</t>
        </is>
      </c>
      <c r="F297" s="857" t="inlineStr">
        <is>
          <t>【家】セミナー化学（基本問題の反復）</t>
        </is>
      </c>
      <c r="G297" s="857" t="inlineStr">
        <is>
          <t>←</t>
        </is>
      </c>
      <c r="H297" s="857" t="inlineStr">
        <is>
          <t>←</t>
        </is>
      </c>
      <c r="I297" s="857" t="inlineStr">
        <is>
          <t>←</t>
        </is>
      </c>
      <c r="J297" s="857" t="inlineStr">
        <is>
          <t>←</t>
        </is>
      </c>
      <c r="K297" s="857" t="inlineStr">
        <is>
          <t>←</t>
        </is>
      </c>
      <c r="L297" s="857" t="inlineStr">
        <is>
          <t>←</t>
        </is>
      </c>
      <c r="M297" s="857" t="inlineStr">
        <is>
          <t>←</t>
        </is>
      </c>
      <c r="N297" s="857" t="inlineStr">
        <is>
          <t>←</t>
        </is>
      </c>
      <c r="O297" s="857" t="inlineStr">
        <is>
          <t>←</t>
        </is>
      </c>
      <c r="P297" s="857" t="inlineStr">
        <is>
          <t>←</t>
        </is>
      </c>
      <c r="Q297" s="857" t="inlineStr">
        <is>
          <t>【家】化学の問題集で演習</t>
        </is>
      </c>
      <c r="R297" s="857" t="inlineStr">
        <is>
          <t>←</t>
        </is>
      </c>
      <c r="S297" s="857" t="inlineStr">
        <is>
          <t>←</t>
        </is>
      </c>
      <c r="T297" s="857" t="inlineStr">
        <is>
          <t>←</t>
        </is>
      </c>
      <c r="U297" s="857" t="inlineStr">
        <is>
          <t>【家】{志望校}過去問</t>
        </is>
      </c>
      <c r="V297" s="857" t="inlineStr">
        <is>
          <t>←</t>
        </is>
      </c>
    </row>
    <row r="298">
      <c r="A298" s="856" t="inlineStr">
        <is>
          <t>私大理系|化学|難関|講座</t>
        </is>
      </c>
      <c r="B298" s="856" t="inlineStr">
        <is>
          <t>私大理系</t>
        </is>
      </c>
      <c r="C298" s="856" t="inlineStr">
        <is>
          <t>化学</t>
        </is>
      </c>
      <c r="D298" s="856" t="inlineStr">
        <is>
          <t>難関</t>
        </is>
      </c>
      <c r="E298" s="856" t="inlineStr">
        <is>
          <t>講座</t>
        </is>
      </c>
      <c r="F298" s="856" t="n"/>
      <c r="G298" s="856" t="inlineStr">
        <is>
          <t>難関大化学</t>
        </is>
      </c>
      <c r="H298" s="856" t="inlineStr">
        <is>
          <t>←</t>
        </is>
      </c>
      <c r="I298" s="856" t="inlineStr">
        <is>
          <t>←</t>
        </is>
      </c>
      <c r="J298" s="856" t="inlineStr">
        <is>
          <t>←</t>
        </is>
      </c>
      <c r="K298" s="856" t="inlineStr">
        <is>
          <t>←</t>
        </is>
      </c>
      <c r="L298" s="856" t="inlineStr">
        <is>
          <t>←</t>
        </is>
      </c>
      <c r="M298" s="856" t="inlineStr">
        <is>
          <t>←</t>
        </is>
      </c>
      <c r="N298" s="856" t="inlineStr">
        <is>
          <t>←</t>
        </is>
      </c>
      <c r="O298" s="856" t="inlineStr">
        <is>
          <t>夏期講習</t>
        </is>
      </c>
      <c r="P298" s="856" t="inlineStr">
        <is>
          <t>←</t>
        </is>
      </c>
      <c r="Q298" s="856" t="inlineStr">
        <is>
          <t>難関大化学</t>
        </is>
      </c>
      <c r="R298" s="856" t="inlineStr">
        <is>
          <t>←</t>
        </is>
      </c>
      <c r="S298" s="856" t="inlineStr">
        <is>
          <t>←</t>
        </is>
      </c>
      <c r="T298" s="856" t="inlineStr">
        <is>
          <t>←</t>
        </is>
      </c>
      <c r="U298" s="856" t="inlineStr">
        <is>
          <t>直前講習</t>
        </is>
      </c>
      <c r="V298" s="856" t="inlineStr">
        <is>
          <t>←</t>
        </is>
      </c>
    </row>
    <row r="299">
      <c r="A299" s="857" t="inlineStr">
        <is>
          <t>私大理系|化学|難関|回</t>
        </is>
      </c>
      <c r="B299" s="857" t="inlineStr">
        <is>
          <t>私大理系</t>
        </is>
      </c>
      <c r="C299" s="857" t="inlineStr">
        <is>
          <t>化学</t>
        </is>
      </c>
      <c r="D299" s="857" t="inlineStr">
        <is>
          <t>難関</t>
        </is>
      </c>
      <c r="E299" s="857" t="inlineStr">
        <is>
          <t>回</t>
        </is>
      </c>
      <c r="F299" s="857" t="n"/>
      <c r="G299" s="857" t="inlineStr">
        <is>
          <t>練成1</t>
        </is>
      </c>
      <c r="H299" s="857" t="inlineStr">
        <is>
          <t>練成2</t>
        </is>
      </c>
      <c r="I299" s="857" t="inlineStr">
        <is>
          <t>練成3</t>
        </is>
      </c>
      <c r="J299" s="857" t="inlineStr">
        <is>
          <t>練成4</t>
        </is>
      </c>
      <c r="K299" s="857" t="inlineStr">
        <is>
          <t>練成5</t>
        </is>
      </c>
      <c r="L299" s="857" t="inlineStr">
        <is>
          <t>練成6</t>
        </is>
      </c>
      <c r="M299" s="857" t="inlineStr">
        <is>
          <t>練成7</t>
        </is>
      </c>
      <c r="N299" s="857" t="inlineStr">
        <is>
          <t>練成8</t>
        </is>
      </c>
      <c r="O299" s="857" t="inlineStr">
        <is>
          <t>夏期1</t>
        </is>
      </c>
      <c r="P299" s="857" t="inlineStr">
        <is>
          <t>夏期2</t>
        </is>
      </c>
      <c r="Q299" s="857" t="inlineStr">
        <is>
          <t>実戦1</t>
        </is>
      </c>
      <c r="R299" s="857" t="inlineStr">
        <is>
          <t>実戦2</t>
        </is>
      </c>
      <c r="S299" s="857" t="inlineStr">
        <is>
          <t>実戦3</t>
        </is>
      </c>
      <c r="T299" s="857" t="inlineStr">
        <is>
          <t>実戦4</t>
        </is>
      </c>
      <c r="U299" s="857" t="inlineStr">
        <is>
          <t>直前1</t>
        </is>
      </c>
      <c r="V299" s="857" t="inlineStr">
        <is>
          <t>※</t>
        </is>
      </c>
    </row>
    <row r="300">
      <c r="A300" s="857" t="inlineStr">
        <is>
          <t>私大理系|化学|難関|塾</t>
        </is>
      </c>
      <c r="B300" s="857" t="inlineStr">
        <is>
          <t>私大理系</t>
        </is>
      </c>
      <c r="C300" s="857" t="inlineStr">
        <is>
          <t>化学</t>
        </is>
      </c>
      <c r="D300" s="857" t="inlineStr">
        <is>
          <t>難関</t>
        </is>
      </c>
      <c r="E300" s="857" t="inlineStr">
        <is>
          <t>塾</t>
        </is>
      </c>
      <c r="F300" s="857" t="inlineStr">
        <is>
          <t>【塾】化学 重要問題集（A・B問題）</t>
        </is>
      </c>
      <c r="G300" s="857" t="inlineStr">
        <is>
          <t>←</t>
        </is>
      </c>
      <c r="H300" s="857" t="inlineStr">
        <is>
          <t>←</t>
        </is>
      </c>
      <c r="I300" s="857" t="inlineStr">
        <is>
          <t>←</t>
        </is>
      </c>
      <c r="J300" s="857" t="inlineStr">
        <is>
          <t>←</t>
        </is>
      </c>
      <c r="K300" s="857" t="inlineStr">
        <is>
          <t>←</t>
        </is>
      </c>
      <c r="L300" s="857" t="inlineStr">
        <is>
          <t>←</t>
        </is>
      </c>
      <c r="M300" s="857" t="inlineStr">
        <is>
          <t>←</t>
        </is>
      </c>
      <c r="N300" s="857" t="inlineStr">
        <is>
          <t>←</t>
        </is>
      </c>
      <c r="O300" s="857" t="inlineStr">
        <is>
          <t>←</t>
        </is>
      </c>
      <c r="P300" s="857" t="inlineStr">
        <is>
          <t>←</t>
        </is>
      </c>
      <c r="Q300" s="857" t="inlineStr">
        <is>
          <t>【塾】化学の新演習</t>
        </is>
      </c>
      <c r="R300" s="857" t="inlineStr">
        <is>
          <t>←</t>
        </is>
      </c>
      <c r="S300" s="857" t="inlineStr">
        <is>
          <t>←</t>
        </is>
      </c>
      <c r="T300" s="857" t="inlineStr">
        <is>
          <t>←</t>
        </is>
      </c>
      <c r="U300" s="857" t="inlineStr">
        <is>
          <t>【塾】{志望校}過去問</t>
        </is>
      </c>
      <c r="V300" s="857" t="inlineStr">
        <is>
          <t>←</t>
        </is>
      </c>
    </row>
    <row r="301">
      <c r="A301" s="857" t="inlineStr">
        <is>
          <t>私大理系|化学|難関|家</t>
        </is>
      </c>
      <c r="B301" s="857" t="inlineStr">
        <is>
          <t>私大理系</t>
        </is>
      </c>
      <c r="C301" s="857" t="inlineStr">
        <is>
          <t>化学</t>
        </is>
      </c>
      <c r="D301" s="857" t="inlineStr">
        <is>
          <t>難関</t>
        </is>
      </c>
      <c r="E301" s="857" t="inlineStr">
        <is>
          <t>家</t>
        </is>
      </c>
      <c r="F301" s="857" t="inlineStr">
        <is>
          <t>【家】セミナー化学（基本問題の反復）</t>
        </is>
      </c>
      <c r="G301" s="857" t="inlineStr">
        <is>
          <t>←</t>
        </is>
      </c>
      <c r="H301" s="857" t="inlineStr">
        <is>
          <t>←</t>
        </is>
      </c>
      <c r="I301" s="857" t="inlineStr">
        <is>
          <t>←</t>
        </is>
      </c>
      <c r="J301" s="857" t="inlineStr">
        <is>
          <t>←</t>
        </is>
      </c>
      <c r="K301" s="857" t="inlineStr">
        <is>
          <t>←</t>
        </is>
      </c>
      <c r="L301" s="857" t="inlineStr">
        <is>
          <t>←</t>
        </is>
      </c>
      <c r="M301" s="857" t="inlineStr">
        <is>
          <t>←</t>
        </is>
      </c>
      <c r="N301" s="857" t="inlineStr">
        <is>
          <t>←</t>
        </is>
      </c>
      <c r="O301" s="857" t="inlineStr">
        <is>
          <t>←</t>
        </is>
      </c>
      <c r="P301" s="857" t="inlineStr">
        <is>
          <t>←</t>
        </is>
      </c>
      <c r="Q301" s="857" t="inlineStr">
        <is>
          <t>【家】化学の問題集で演習</t>
        </is>
      </c>
      <c r="R301" s="857" t="inlineStr">
        <is>
          <t>←</t>
        </is>
      </c>
      <c r="S301" s="857" t="inlineStr">
        <is>
          <t>←</t>
        </is>
      </c>
      <c r="T301" s="857" t="inlineStr">
        <is>
          <t>←</t>
        </is>
      </c>
      <c r="U301" s="857" t="inlineStr">
        <is>
          <t>【家】{志望校}過去問</t>
        </is>
      </c>
      <c r="V301" s="857" t="inlineStr">
        <is>
          <t>←</t>
        </is>
      </c>
    </row>
    <row r="302">
      <c r="A302" s="856" t="inlineStr">
        <is>
          <t>私大理系|生物|基礎|講座</t>
        </is>
      </c>
      <c r="B302" s="856" t="inlineStr">
        <is>
          <t>私大理系</t>
        </is>
      </c>
      <c r="C302" s="856" t="inlineStr">
        <is>
          <t>生物</t>
        </is>
      </c>
      <c r="D302" s="856" t="inlineStr">
        <is>
          <t>基礎</t>
        </is>
      </c>
      <c r="E302" s="856" t="inlineStr">
        <is>
          <t>講座</t>
        </is>
      </c>
      <c r="F302" s="856" t="n"/>
      <c r="G302" s="856" t="inlineStr">
        <is>
          <t>基礎生物</t>
        </is>
      </c>
      <c r="H302" s="856" t="inlineStr">
        <is>
          <t>←</t>
        </is>
      </c>
      <c r="I302" s="856" t="inlineStr">
        <is>
          <t>←</t>
        </is>
      </c>
      <c r="J302" s="856" t="inlineStr">
        <is>
          <t>←</t>
        </is>
      </c>
      <c r="K302" s="856" t="inlineStr">
        <is>
          <t>←</t>
        </is>
      </c>
      <c r="L302" s="856" t="inlineStr">
        <is>
          <t>←</t>
        </is>
      </c>
      <c r="M302" s="856" t="inlineStr">
        <is>
          <t>←</t>
        </is>
      </c>
      <c r="N302" s="856" t="inlineStr">
        <is>
          <t>←</t>
        </is>
      </c>
      <c r="O302" s="856" t="inlineStr">
        <is>
          <t>夏期講習</t>
        </is>
      </c>
      <c r="P302" s="856" t="inlineStr">
        <is>
          <t>←</t>
        </is>
      </c>
      <c r="Q302" s="856" t="inlineStr">
        <is>
          <t>基礎生物</t>
        </is>
      </c>
      <c r="R302" s="856" t="inlineStr">
        <is>
          <t>←</t>
        </is>
      </c>
      <c r="S302" s="856" t="inlineStr">
        <is>
          <t>←</t>
        </is>
      </c>
      <c r="T302" s="856" t="inlineStr">
        <is>
          <t>←</t>
        </is>
      </c>
      <c r="U302" s="856" t="inlineStr">
        <is>
          <t>直前講習</t>
        </is>
      </c>
      <c r="V302" s="856" t="inlineStr">
        <is>
          <t>←</t>
        </is>
      </c>
    </row>
    <row r="303">
      <c r="A303" s="857" t="inlineStr">
        <is>
          <t>私大理系|生物|基礎|回</t>
        </is>
      </c>
      <c r="B303" s="857" t="inlineStr">
        <is>
          <t>私大理系</t>
        </is>
      </c>
      <c r="C303" s="857" t="inlineStr">
        <is>
          <t>生物</t>
        </is>
      </c>
      <c r="D303" s="857" t="inlineStr">
        <is>
          <t>基礎</t>
        </is>
      </c>
      <c r="E303" s="857" t="inlineStr">
        <is>
          <t>回</t>
        </is>
      </c>
      <c r="F303" s="857" t="n"/>
      <c r="G303" s="857" t="inlineStr">
        <is>
          <t>練成1</t>
        </is>
      </c>
      <c r="H303" s="857" t="inlineStr">
        <is>
          <t>練成2</t>
        </is>
      </c>
      <c r="I303" s="857" t="inlineStr">
        <is>
          <t>練成3</t>
        </is>
      </c>
      <c r="J303" s="857" t="inlineStr">
        <is>
          <t>練成4</t>
        </is>
      </c>
      <c r="K303" s="857" t="inlineStr">
        <is>
          <t>練成5</t>
        </is>
      </c>
      <c r="L303" s="857" t="inlineStr">
        <is>
          <t>練成6</t>
        </is>
      </c>
      <c r="M303" s="857" t="inlineStr">
        <is>
          <t>練成7</t>
        </is>
      </c>
      <c r="N303" s="857" t="inlineStr">
        <is>
          <t>練成8</t>
        </is>
      </c>
      <c r="O303" s="857" t="inlineStr">
        <is>
          <t>夏期1</t>
        </is>
      </c>
      <c r="P303" s="857" t="inlineStr">
        <is>
          <t>夏期2</t>
        </is>
      </c>
      <c r="Q303" s="857" t="inlineStr">
        <is>
          <t>実戦1</t>
        </is>
      </c>
      <c r="R303" s="857" t="inlineStr">
        <is>
          <t>実戦2</t>
        </is>
      </c>
      <c r="S303" s="857" t="inlineStr">
        <is>
          <t>実戦3</t>
        </is>
      </c>
      <c r="T303" s="857" t="inlineStr">
        <is>
          <t>実戦4</t>
        </is>
      </c>
      <c r="U303" s="857" t="inlineStr">
        <is>
          <t>直前1</t>
        </is>
      </c>
      <c r="V303" s="857" t="inlineStr">
        <is>
          <t>※</t>
        </is>
      </c>
    </row>
    <row r="304">
      <c r="A304" s="857" t="inlineStr">
        <is>
          <t>私大理系|生物|基礎|塾</t>
        </is>
      </c>
      <c r="B304" s="857" t="inlineStr">
        <is>
          <t>私大理系</t>
        </is>
      </c>
      <c r="C304" s="857" t="inlineStr">
        <is>
          <t>生物</t>
        </is>
      </c>
      <c r="D304" s="857" t="inlineStr">
        <is>
          <t>基礎</t>
        </is>
      </c>
      <c r="E304" s="857" t="inlineStr">
        <is>
          <t>塾</t>
        </is>
      </c>
      <c r="F304" s="857" t="inlineStr">
        <is>
          <t>【塾】生物 基礎問題精講</t>
        </is>
      </c>
      <c r="G304" s="857" t="inlineStr">
        <is>
          <t>←</t>
        </is>
      </c>
      <c r="H304" s="857" t="inlineStr">
        <is>
          <t>←</t>
        </is>
      </c>
      <c r="I304" s="857" t="inlineStr">
        <is>
          <t>←</t>
        </is>
      </c>
      <c r="J304" s="857" t="inlineStr">
        <is>
          <t>←</t>
        </is>
      </c>
      <c r="K304" s="857" t="inlineStr">
        <is>
          <t>←</t>
        </is>
      </c>
      <c r="L304" s="857" t="inlineStr">
        <is>
          <t>←</t>
        </is>
      </c>
      <c r="M304" s="857" t="inlineStr">
        <is>
          <t>←</t>
        </is>
      </c>
      <c r="N304" s="857" t="inlineStr">
        <is>
          <t>←</t>
        </is>
      </c>
      <c r="O304" s="857" t="inlineStr">
        <is>
          <t>←</t>
        </is>
      </c>
      <c r="P304" s="857" t="inlineStr">
        <is>
          <t>←</t>
        </is>
      </c>
      <c r="Q304" s="857" t="inlineStr">
        <is>
          <t>【塾】生物 基礎問題精講（反復）</t>
        </is>
      </c>
      <c r="R304" s="857" t="inlineStr">
        <is>
          <t>←</t>
        </is>
      </c>
      <c r="S304" s="857" t="inlineStr">
        <is>
          <t>←</t>
        </is>
      </c>
      <c r="T304" s="857" t="inlineStr">
        <is>
          <t>←</t>
        </is>
      </c>
      <c r="U304" s="857" t="inlineStr">
        <is>
          <t>【塾】{志望校}過去問</t>
        </is>
      </c>
      <c r="V304" s="857" t="inlineStr">
        <is>
          <t>←</t>
        </is>
      </c>
    </row>
    <row r="305">
      <c r="A305" s="857" t="inlineStr">
        <is>
          <t>私大理系|生物|基礎|家</t>
        </is>
      </c>
      <c r="B305" s="857" t="inlineStr">
        <is>
          <t>私大理系</t>
        </is>
      </c>
      <c r="C305" s="857" t="inlineStr">
        <is>
          <t>生物</t>
        </is>
      </c>
      <c r="D305" s="857" t="inlineStr">
        <is>
          <t>基礎</t>
        </is>
      </c>
      <c r="E305" s="857" t="inlineStr">
        <is>
          <t>家</t>
        </is>
      </c>
      <c r="F305" s="857" t="inlineStr">
        <is>
          <t>【家】リードα 生物（反復）</t>
        </is>
      </c>
      <c r="G305" s="857" t="inlineStr">
        <is>
          <t>←</t>
        </is>
      </c>
      <c r="H305" s="857" t="inlineStr">
        <is>
          <t>←</t>
        </is>
      </c>
      <c r="I305" s="857" t="inlineStr">
        <is>
          <t>←</t>
        </is>
      </c>
      <c r="J305" s="857" t="inlineStr">
        <is>
          <t>←</t>
        </is>
      </c>
      <c r="K305" s="857" t="inlineStr">
        <is>
          <t>←</t>
        </is>
      </c>
      <c r="L305" s="857" t="inlineStr">
        <is>
          <t>←</t>
        </is>
      </c>
      <c r="M305" s="857" t="inlineStr">
        <is>
          <t>←</t>
        </is>
      </c>
      <c r="N305" s="857" t="inlineStr">
        <is>
          <t>←</t>
        </is>
      </c>
      <c r="O305" s="857" t="inlineStr">
        <is>
          <t>←</t>
        </is>
      </c>
      <c r="P305" s="857" t="inlineStr">
        <is>
          <t>←</t>
        </is>
      </c>
      <c r="Q305" s="857" t="inlineStr">
        <is>
          <t>【家】生物の問題集で演習</t>
        </is>
      </c>
      <c r="R305" s="857" t="inlineStr">
        <is>
          <t>←</t>
        </is>
      </c>
      <c r="S305" s="857" t="inlineStr">
        <is>
          <t>←</t>
        </is>
      </c>
      <c r="T305" s="857" t="inlineStr">
        <is>
          <t>←</t>
        </is>
      </c>
      <c r="U305" s="857" t="inlineStr">
        <is>
          <t>【家】{志望校}過去問</t>
        </is>
      </c>
      <c r="V305" s="857" t="inlineStr">
        <is>
          <t>←</t>
        </is>
      </c>
    </row>
    <row r="306">
      <c r="A306" s="856" t="inlineStr">
        <is>
          <t>私大理系|生物|標準|講座</t>
        </is>
      </c>
      <c r="B306" s="856" t="inlineStr">
        <is>
          <t>私大理系</t>
        </is>
      </c>
      <c r="C306" s="856" t="inlineStr">
        <is>
          <t>生物</t>
        </is>
      </c>
      <c r="D306" s="856" t="inlineStr">
        <is>
          <t>標準</t>
        </is>
      </c>
      <c r="E306" s="856" t="inlineStr">
        <is>
          <t>講座</t>
        </is>
      </c>
      <c r="F306" s="856" t="n"/>
      <c r="G306" s="856" t="inlineStr">
        <is>
          <t>標準生物</t>
        </is>
      </c>
      <c r="H306" s="856" t="inlineStr">
        <is>
          <t>←</t>
        </is>
      </c>
      <c r="I306" s="856" t="inlineStr">
        <is>
          <t>←</t>
        </is>
      </c>
      <c r="J306" s="856" t="inlineStr">
        <is>
          <t>←</t>
        </is>
      </c>
      <c r="K306" s="856" t="inlineStr">
        <is>
          <t>←</t>
        </is>
      </c>
      <c r="L306" s="856" t="inlineStr">
        <is>
          <t>←</t>
        </is>
      </c>
      <c r="M306" s="856" t="inlineStr">
        <is>
          <t>←</t>
        </is>
      </c>
      <c r="N306" s="856" t="inlineStr">
        <is>
          <t>←</t>
        </is>
      </c>
      <c r="O306" s="856" t="inlineStr">
        <is>
          <t>夏期講習</t>
        </is>
      </c>
      <c r="P306" s="856" t="inlineStr">
        <is>
          <t>←</t>
        </is>
      </c>
      <c r="Q306" s="856" t="inlineStr">
        <is>
          <t>標準生物</t>
        </is>
      </c>
      <c r="R306" s="856" t="inlineStr">
        <is>
          <t>←</t>
        </is>
      </c>
      <c r="S306" s="856" t="inlineStr">
        <is>
          <t>←</t>
        </is>
      </c>
      <c r="T306" s="856" t="inlineStr">
        <is>
          <t>←</t>
        </is>
      </c>
      <c r="U306" s="856" t="inlineStr">
        <is>
          <t>直前講習</t>
        </is>
      </c>
      <c r="V306" s="856" t="inlineStr">
        <is>
          <t>←</t>
        </is>
      </c>
    </row>
    <row r="307">
      <c r="A307" s="857" t="inlineStr">
        <is>
          <t>私大理系|生物|標準|回</t>
        </is>
      </c>
      <c r="B307" s="857" t="inlineStr">
        <is>
          <t>私大理系</t>
        </is>
      </c>
      <c r="C307" s="857" t="inlineStr">
        <is>
          <t>生物</t>
        </is>
      </c>
      <c r="D307" s="857" t="inlineStr">
        <is>
          <t>標準</t>
        </is>
      </c>
      <c r="E307" s="857" t="inlineStr">
        <is>
          <t>回</t>
        </is>
      </c>
      <c r="F307" s="857" t="n"/>
      <c r="G307" s="857" t="inlineStr">
        <is>
          <t>練成1</t>
        </is>
      </c>
      <c r="H307" s="857" t="inlineStr">
        <is>
          <t>練成2</t>
        </is>
      </c>
      <c r="I307" s="857" t="inlineStr">
        <is>
          <t>練成3</t>
        </is>
      </c>
      <c r="J307" s="857" t="inlineStr">
        <is>
          <t>練成4</t>
        </is>
      </c>
      <c r="K307" s="857" t="inlineStr">
        <is>
          <t>練成5</t>
        </is>
      </c>
      <c r="L307" s="857" t="inlineStr">
        <is>
          <t>練成6</t>
        </is>
      </c>
      <c r="M307" s="857" t="inlineStr">
        <is>
          <t>練成7</t>
        </is>
      </c>
      <c r="N307" s="857" t="inlineStr">
        <is>
          <t>練成8</t>
        </is>
      </c>
      <c r="O307" s="857" t="inlineStr">
        <is>
          <t>夏期1</t>
        </is>
      </c>
      <c r="P307" s="857" t="inlineStr">
        <is>
          <t>夏期2</t>
        </is>
      </c>
      <c r="Q307" s="857" t="inlineStr">
        <is>
          <t>実戦1</t>
        </is>
      </c>
      <c r="R307" s="857" t="inlineStr">
        <is>
          <t>実戦2</t>
        </is>
      </c>
      <c r="S307" s="857" t="inlineStr">
        <is>
          <t>実戦3</t>
        </is>
      </c>
      <c r="T307" s="857" t="inlineStr">
        <is>
          <t>実戦4</t>
        </is>
      </c>
      <c r="U307" s="857" t="inlineStr">
        <is>
          <t>直前1</t>
        </is>
      </c>
      <c r="V307" s="857" t="inlineStr">
        <is>
          <t>※</t>
        </is>
      </c>
    </row>
    <row r="308">
      <c r="A308" s="857" t="inlineStr">
        <is>
          <t>私大理系|生物|標準|塾</t>
        </is>
      </c>
      <c r="B308" s="857" t="inlineStr">
        <is>
          <t>私大理系</t>
        </is>
      </c>
      <c r="C308" s="857" t="inlineStr">
        <is>
          <t>生物</t>
        </is>
      </c>
      <c r="D308" s="857" t="inlineStr">
        <is>
          <t>標準</t>
        </is>
      </c>
      <c r="E308" s="857" t="inlineStr">
        <is>
          <t>塾</t>
        </is>
      </c>
      <c r="F308" s="857" t="inlineStr">
        <is>
          <t>【塾】生物 基礎問題精講</t>
        </is>
      </c>
      <c r="G308" s="857" t="inlineStr">
        <is>
          <t>←</t>
        </is>
      </c>
      <c r="H308" s="857" t="inlineStr">
        <is>
          <t>←</t>
        </is>
      </c>
      <c r="I308" s="857" t="inlineStr">
        <is>
          <t>←</t>
        </is>
      </c>
      <c r="J308" s="857" t="inlineStr">
        <is>
          <t>←</t>
        </is>
      </c>
      <c r="K308" s="857" t="inlineStr">
        <is>
          <t>←</t>
        </is>
      </c>
      <c r="L308" s="857" t="inlineStr">
        <is>
          <t>←</t>
        </is>
      </c>
      <c r="M308" s="857" t="inlineStr">
        <is>
          <t>←</t>
        </is>
      </c>
      <c r="N308" s="857" t="inlineStr">
        <is>
          <t>←</t>
        </is>
      </c>
      <c r="O308" s="857" t="inlineStr">
        <is>
          <t>←</t>
        </is>
      </c>
      <c r="P308" s="857" t="inlineStr">
        <is>
          <t>←</t>
        </is>
      </c>
      <c r="Q308" s="857" t="inlineStr">
        <is>
          <t>【塾】生物 重要問題集</t>
        </is>
      </c>
      <c r="R308" s="857" t="inlineStr">
        <is>
          <t>←</t>
        </is>
      </c>
      <c r="S308" s="857" t="inlineStr">
        <is>
          <t>←</t>
        </is>
      </c>
      <c r="T308" s="857" t="inlineStr">
        <is>
          <t>←</t>
        </is>
      </c>
      <c r="U308" s="857" t="inlineStr">
        <is>
          <t>【塾】{志望校}過去問</t>
        </is>
      </c>
      <c r="V308" s="857" t="inlineStr">
        <is>
          <t>←</t>
        </is>
      </c>
    </row>
    <row r="309">
      <c r="A309" s="857" t="inlineStr">
        <is>
          <t>私大理系|生物|標準|家</t>
        </is>
      </c>
      <c r="B309" s="857" t="inlineStr">
        <is>
          <t>私大理系</t>
        </is>
      </c>
      <c r="C309" s="857" t="inlineStr">
        <is>
          <t>生物</t>
        </is>
      </c>
      <c r="D309" s="857" t="inlineStr">
        <is>
          <t>標準</t>
        </is>
      </c>
      <c r="E309" s="857" t="inlineStr">
        <is>
          <t>家</t>
        </is>
      </c>
      <c r="F309" s="857" t="inlineStr">
        <is>
          <t>【家】リードα 生物（反復）</t>
        </is>
      </c>
      <c r="G309" s="857" t="inlineStr">
        <is>
          <t>←</t>
        </is>
      </c>
      <c r="H309" s="857" t="inlineStr">
        <is>
          <t>←</t>
        </is>
      </c>
      <c r="I309" s="857" t="inlineStr">
        <is>
          <t>←</t>
        </is>
      </c>
      <c r="J309" s="857" t="inlineStr">
        <is>
          <t>←</t>
        </is>
      </c>
      <c r="K309" s="857" t="inlineStr">
        <is>
          <t>←</t>
        </is>
      </c>
      <c r="L309" s="857" t="inlineStr">
        <is>
          <t>←</t>
        </is>
      </c>
      <c r="M309" s="857" t="inlineStr">
        <is>
          <t>←</t>
        </is>
      </c>
      <c r="N309" s="857" t="inlineStr">
        <is>
          <t>←</t>
        </is>
      </c>
      <c r="O309" s="857" t="inlineStr">
        <is>
          <t>←</t>
        </is>
      </c>
      <c r="P309" s="857" t="inlineStr">
        <is>
          <t>←</t>
        </is>
      </c>
      <c r="Q309" s="857" t="inlineStr">
        <is>
          <t>【家】生物の問題集で演習</t>
        </is>
      </c>
      <c r="R309" s="857" t="inlineStr">
        <is>
          <t>←</t>
        </is>
      </c>
      <c r="S309" s="857" t="inlineStr">
        <is>
          <t>←</t>
        </is>
      </c>
      <c r="T309" s="857" t="inlineStr">
        <is>
          <t>←</t>
        </is>
      </c>
      <c r="U309" s="857" t="inlineStr">
        <is>
          <t>【家】{志望校}過去問</t>
        </is>
      </c>
      <c r="V309" s="857" t="inlineStr">
        <is>
          <t>←</t>
        </is>
      </c>
    </row>
    <row r="310">
      <c r="A310" s="856" t="inlineStr">
        <is>
          <t>私大理系|生物|難関|講座</t>
        </is>
      </c>
      <c r="B310" s="856" t="inlineStr">
        <is>
          <t>私大理系</t>
        </is>
      </c>
      <c r="C310" s="856" t="inlineStr">
        <is>
          <t>生物</t>
        </is>
      </c>
      <c r="D310" s="856" t="inlineStr">
        <is>
          <t>難関</t>
        </is>
      </c>
      <c r="E310" s="856" t="inlineStr">
        <is>
          <t>講座</t>
        </is>
      </c>
      <c r="F310" s="856" t="n"/>
      <c r="G310" s="856" t="inlineStr">
        <is>
          <t>難関大生物</t>
        </is>
      </c>
      <c r="H310" s="856" t="inlineStr">
        <is>
          <t>←</t>
        </is>
      </c>
      <c r="I310" s="856" t="inlineStr">
        <is>
          <t>←</t>
        </is>
      </c>
      <c r="J310" s="856" t="inlineStr">
        <is>
          <t>←</t>
        </is>
      </c>
      <c r="K310" s="856" t="inlineStr">
        <is>
          <t>←</t>
        </is>
      </c>
      <c r="L310" s="856" t="inlineStr">
        <is>
          <t>←</t>
        </is>
      </c>
      <c r="M310" s="856" t="inlineStr">
        <is>
          <t>←</t>
        </is>
      </c>
      <c r="N310" s="856" t="inlineStr">
        <is>
          <t>←</t>
        </is>
      </c>
      <c r="O310" s="856" t="inlineStr">
        <is>
          <t>夏期講習</t>
        </is>
      </c>
      <c r="P310" s="856" t="inlineStr">
        <is>
          <t>←</t>
        </is>
      </c>
      <c r="Q310" s="856" t="inlineStr">
        <is>
          <t>難関大生物</t>
        </is>
      </c>
      <c r="R310" s="856" t="inlineStr">
        <is>
          <t>←</t>
        </is>
      </c>
      <c r="S310" s="856" t="inlineStr">
        <is>
          <t>←</t>
        </is>
      </c>
      <c r="T310" s="856" t="inlineStr">
        <is>
          <t>←</t>
        </is>
      </c>
      <c r="U310" s="856" t="inlineStr">
        <is>
          <t>直前講習</t>
        </is>
      </c>
      <c r="V310" s="856" t="inlineStr">
        <is>
          <t>←</t>
        </is>
      </c>
    </row>
    <row r="311">
      <c r="A311" s="857" t="inlineStr">
        <is>
          <t>私大理系|生物|難関|回</t>
        </is>
      </c>
      <c r="B311" s="857" t="inlineStr">
        <is>
          <t>私大理系</t>
        </is>
      </c>
      <c r="C311" s="857" t="inlineStr">
        <is>
          <t>生物</t>
        </is>
      </c>
      <c r="D311" s="857" t="inlineStr">
        <is>
          <t>難関</t>
        </is>
      </c>
      <c r="E311" s="857" t="inlineStr">
        <is>
          <t>回</t>
        </is>
      </c>
      <c r="F311" s="857" t="n"/>
      <c r="G311" s="857" t="inlineStr">
        <is>
          <t>練成1</t>
        </is>
      </c>
      <c r="H311" s="857" t="inlineStr">
        <is>
          <t>練成2</t>
        </is>
      </c>
      <c r="I311" s="857" t="inlineStr">
        <is>
          <t>練成3</t>
        </is>
      </c>
      <c r="J311" s="857" t="inlineStr">
        <is>
          <t>練成4</t>
        </is>
      </c>
      <c r="K311" s="857" t="inlineStr">
        <is>
          <t>練成5</t>
        </is>
      </c>
      <c r="L311" s="857" t="inlineStr">
        <is>
          <t>練成6</t>
        </is>
      </c>
      <c r="M311" s="857" t="inlineStr">
        <is>
          <t>練成7</t>
        </is>
      </c>
      <c r="N311" s="857" t="inlineStr">
        <is>
          <t>練成8</t>
        </is>
      </c>
      <c r="O311" s="857" t="inlineStr">
        <is>
          <t>夏期1</t>
        </is>
      </c>
      <c r="P311" s="857" t="inlineStr">
        <is>
          <t>夏期2</t>
        </is>
      </c>
      <c r="Q311" s="857" t="inlineStr">
        <is>
          <t>実戦1</t>
        </is>
      </c>
      <c r="R311" s="857" t="inlineStr">
        <is>
          <t>実戦2</t>
        </is>
      </c>
      <c r="S311" s="857" t="inlineStr">
        <is>
          <t>実戦3</t>
        </is>
      </c>
      <c r="T311" s="857" t="inlineStr">
        <is>
          <t>実戦4</t>
        </is>
      </c>
      <c r="U311" s="857" t="inlineStr">
        <is>
          <t>直前1</t>
        </is>
      </c>
      <c r="V311" s="857" t="inlineStr">
        <is>
          <t>※</t>
        </is>
      </c>
    </row>
    <row r="312">
      <c r="A312" s="857" t="inlineStr">
        <is>
          <t>私大理系|生物|難関|塾</t>
        </is>
      </c>
      <c r="B312" s="857" t="inlineStr">
        <is>
          <t>私大理系</t>
        </is>
      </c>
      <c r="C312" s="857" t="inlineStr">
        <is>
          <t>生物</t>
        </is>
      </c>
      <c r="D312" s="857" t="inlineStr">
        <is>
          <t>難関</t>
        </is>
      </c>
      <c r="E312" s="857" t="inlineStr">
        <is>
          <t>塾</t>
        </is>
      </c>
      <c r="F312" s="857" t="inlineStr">
        <is>
          <t>【塾】生物 重要問題集</t>
        </is>
      </c>
      <c r="G312" s="857" t="inlineStr">
        <is>
          <t>←</t>
        </is>
      </c>
      <c r="H312" s="857" t="inlineStr">
        <is>
          <t>←</t>
        </is>
      </c>
      <c r="I312" s="857" t="inlineStr">
        <is>
          <t>←</t>
        </is>
      </c>
      <c r="J312" s="857" t="inlineStr">
        <is>
          <t>←</t>
        </is>
      </c>
      <c r="K312" s="857" t="inlineStr">
        <is>
          <t>←</t>
        </is>
      </c>
      <c r="L312" s="857" t="inlineStr">
        <is>
          <t>←</t>
        </is>
      </c>
      <c r="M312" s="857" t="inlineStr">
        <is>
          <t>←</t>
        </is>
      </c>
      <c r="N312" s="857" t="inlineStr">
        <is>
          <t>←</t>
        </is>
      </c>
      <c r="O312" s="857" t="inlineStr">
        <is>
          <t>←</t>
        </is>
      </c>
      <c r="P312" s="857" t="inlineStr">
        <is>
          <t>←</t>
        </is>
      </c>
      <c r="Q312" s="857" t="inlineStr">
        <is>
          <t>【塾】生物 標準問題精講</t>
        </is>
      </c>
      <c r="R312" s="857" t="inlineStr">
        <is>
          <t>←</t>
        </is>
      </c>
      <c r="S312" s="857" t="inlineStr">
        <is>
          <t>←</t>
        </is>
      </c>
      <c r="T312" s="857" t="inlineStr">
        <is>
          <t>←</t>
        </is>
      </c>
      <c r="U312" s="857" t="inlineStr">
        <is>
          <t>【塾】{志望校}過去問</t>
        </is>
      </c>
      <c r="V312" s="857" t="inlineStr">
        <is>
          <t>←</t>
        </is>
      </c>
    </row>
    <row r="313">
      <c r="A313" s="857" t="inlineStr">
        <is>
          <t>私大理系|生物|難関|家</t>
        </is>
      </c>
      <c r="B313" s="857" t="inlineStr">
        <is>
          <t>私大理系</t>
        </is>
      </c>
      <c r="C313" s="857" t="inlineStr">
        <is>
          <t>生物</t>
        </is>
      </c>
      <c r="D313" s="857" t="inlineStr">
        <is>
          <t>難関</t>
        </is>
      </c>
      <c r="E313" s="857" t="inlineStr">
        <is>
          <t>家</t>
        </is>
      </c>
      <c r="F313" s="857" t="inlineStr">
        <is>
          <t>【家】リードα 生物（反復）</t>
        </is>
      </c>
      <c r="G313" s="857" t="inlineStr">
        <is>
          <t>←</t>
        </is>
      </c>
      <c r="H313" s="857" t="inlineStr">
        <is>
          <t>←</t>
        </is>
      </c>
      <c r="I313" s="857" t="inlineStr">
        <is>
          <t>←</t>
        </is>
      </c>
      <c r="J313" s="857" t="inlineStr">
        <is>
          <t>←</t>
        </is>
      </c>
      <c r="K313" s="857" t="inlineStr">
        <is>
          <t>←</t>
        </is>
      </c>
      <c r="L313" s="857" t="inlineStr">
        <is>
          <t>←</t>
        </is>
      </c>
      <c r="M313" s="857" t="inlineStr">
        <is>
          <t>←</t>
        </is>
      </c>
      <c r="N313" s="857" t="inlineStr">
        <is>
          <t>←</t>
        </is>
      </c>
      <c r="O313" s="857" t="inlineStr">
        <is>
          <t>←</t>
        </is>
      </c>
      <c r="P313" s="857" t="inlineStr">
        <is>
          <t>←</t>
        </is>
      </c>
      <c r="Q313" s="857" t="inlineStr">
        <is>
          <t>【家】生物の問題集で演習</t>
        </is>
      </c>
      <c r="R313" s="857" t="inlineStr">
        <is>
          <t>←</t>
        </is>
      </c>
      <c r="S313" s="857" t="inlineStr">
        <is>
          <t>←</t>
        </is>
      </c>
      <c r="T313" s="857" t="inlineStr">
        <is>
          <t>←</t>
        </is>
      </c>
      <c r="U313" s="857" t="inlineStr">
        <is>
          <t>【家】{志望校}過去問</t>
        </is>
      </c>
      <c r="V313" s="857" t="inlineStr">
        <is>
          <t>←</t>
        </is>
      </c>
    </row>
  </sheetData>
  <autoFilter ref="A1:V313"/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Kyote">
    <tabColor rgb="00BEC3CD"/>
    <outlinePr summaryBelow="1" summaryRight="1"/>
    <pageSetUpPr/>
  </sheetPr>
  <dimension ref="A1:G1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38" customWidth="1" style="466" min="2" max="2"/>
    <col width="9" customWidth="1" style="466" min="3" max="3"/>
    <col width="9" customWidth="1" style="466" min="4" max="4"/>
    <col width="9" customWidth="1" style="466" min="5" max="5"/>
    <col width="9" customWidth="1" style="466" min="6" max="6"/>
    <col width="30" customWidth="1" style="466" min="7" max="7"/>
  </cols>
  <sheetData>
    <row r="1" ht="30" customHeight="1" s="466">
      <c r="A1" s="846" t="inlineStr">
        <is>
          <t>科目</t>
        </is>
      </c>
      <c r="B1" s="846" t="inlineStr">
        <is>
          <t>講座名</t>
        </is>
      </c>
      <c r="C1" s="846" t="inlineStr">
        <is>
          <t>9月</t>
        </is>
      </c>
      <c r="D1" s="846" t="inlineStr">
        <is>
          <t>10月</t>
        </is>
      </c>
      <c r="E1" s="846" t="inlineStr">
        <is>
          <t>11月</t>
        </is>
      </c>
      <c r="F1" s="846" t="inlineStr">
        <is>
          <t>12月</t>
        </is>
      </c>
      <c r="G1" s="846" t="inlineStr">
        <is>
          <t>対象（全/文系/理系/公共政経/公共倫理/情報）</t>
        </is>
      </c>
    </row>
    <row r="2">
      <c r="A2" s="848" t="inlineStr">
        <is>
          <t>英語</t>
        </is>
      </c>
      <c r="B2" s="848" t="inlineStr">
        <is>
          <t>G3EQ　学研 共通テスト 英語</t>
        </is>
      </c>
      <c r="C2" s="848" t="inlineStr">
        <is>
          <t>練成1・2</t>
        </is>
      </c>
      <c r="D2" s="848" t="inlineStr">
        <is>
          <t>練成3・4</t>
        </is>
      </c>
      <c r="E2" s="848" t="inlineStr">
        <is>
          <t>実戦1</t>
        </is>
      </c>
      <c r="F2" s="848" t="inlineStr">
        <is>
          <t>実戦2</t>
        </is>
      </c>
      <c r="G2" s="848" t="inlineStr">
        <is>
          <t>英語</t>
        </is>
      </c>
    </row>
    <row r="3">
      <c r="A3" s="848" t="inlineStr">
        <is>
          <t>数学</t>
        </is>
      </c>
      <c r="B3" s="848" t="inlineStr">
        <is>
          <t>G3M1Q　学研 共通テスト 数学Ⅰ・A</t>
        </is>
      </c>
      <c r="C3" s="848" t="inlineStr">
        <is>
          <t>練成1</t>
        </is>
      </c>
      <c r="D3" s="848" t="inlineStr">
        <is>
          <t>練成2</t>
        </is>
      </c>
      <c r="E3" s="848" t="inlineStr">
        <is>
          <t>実戦1</t>
        </is>
      </c>
      <c r="F3" s="848" t="inlineStr">
        <is>
          <t>実戦2</t>
        </is>
      </c>
      <c r="G3" s="848" t="inlineStr">
        <is>
          <t>数学</t>
        </is>
      </c>
    </row>
    <row r="4">
      <c r="A4" s="848" t="inlineStr">
        <is>
          <t>数学</t>
        </is>
      </c>
      <c r="B4" s="848" t="inlineStr">
        <is>
          <t>G3M2Q　学研 共通テスト 数学Ⅱ・B・C</t>
        </is>
      </c>
      <c r="C4" s="848" t="inlineStr">
        <is>
          <t>練成1</t>
        </is>
      </c>
      <c r="D4" s="848" t="inlineStr">
        <is>
          <t>練成2・3</t>
        </is>
      </c>
      <c r="E4" s="848" t="inlineStr">
        <is>
          <t>実戦1</t>
        </is>
      </c>
      <c r="F4" s="848" t="inlineStr">
        <is>
          <t>実戦2</t>
        </is>
      </c>
      <c r="G4" s="848" t="inlineStr">
        <is>
          <t>数学</t>
        </is>
      </c>
    </row>
    <row r="5">
      <c r="A5" s="848" t="inlineStr">
        <is>
          <t>現代文</t>
        </is>
      </c>
      <c r="B5" s="848" t="inlineStr">
        <is>
          <t>G3LGQ　学研 共通テスト 現代文</t>
        </is>
      </c>
      <c r="C5" s="848" t="inlineStr">
        <is>
          <t>練成1</t>
        </is>
      </c>
      <c r="D5" s="848" t="inlineStr">
        <is>
          <t>練成2</t>
        </is>
      </c>
      <c r="E5" s="848" t="inlineStr">
        <is>
          <t>実戦1</t>
        </is>
      </c>
      <c r="F5" s="848" t="inlineStr">
        <is>
          <t>実戦2</t>
        </is>
      </c>
      <c r="G5" s="848" t="inlineStr">
        <is>
          <t>現代文</t>
        </is>
      </c>
    </row>
    <row r="6">
      <c r="A6" s="848" t="inlineStr">
        <is>
          <t>古文</t>
        </is>
      </c>
      <c r="B6" s="848" t="inlineStr">
        <is>
          <t>G3LCQ　学研 共通テスト 古文</t>
        </is>
      </c>
      <c r="C6" s="848" t="n"/>
      <c r="D6" s="848" t="n"/>
      <c r="E6" s="848" t="inlineStr">
        <is>
          <t>実戦1</t>
        </is>
      </c>
      <c r="F6" s="848" t="n"/>
      <c r="G6" s="848" t="inlineStr">
        <is>
          <t>古文</t>
        </is>
      </c>
    </row>
    <row r="7">
      <c r="A7" s="848" t="inlineStr">
        <is>
          <t>漢文</t>
        </is>
      </c>
      <c r="B7" s="848" t="inlineStr">
        <is>
          <t>G3LKQ　学研 共通テスト 漢文</t>
        </is>
      </c>
      <c r="C7" s="848" t="inlineStr">
        <is>
          <t>練成1</t>
        </is>
      </c>
      <c r="D7" s="848" t="n"/>
      <c r="E7" s="848" t="inlineStr">
        <is>
          <t>実戦1</t>
        </is>
      </c>
      <c r="F7" s="848" t="n"/>
      <c r="G7" s="848" t="inlineStr">
        <is>
          <t>漢文</t>
        </is>
      </c>
    </row>
    <row r="8">
      <c r="A8" s="848" t="inlineStr">
        <is>
          <t>日本史</t>
        </is>
      </c>
      <c r="B8" s="848" t="inlineStr">
        <is>
          <t>G3JQ　学研 共通テスト 日本史</t>
        </is>
      </c>
      <c r="C8" s="848" t="n"/>
      <c r="D8" s="848" t="n"/>
      <c r="E8" s="848" t="inlineStr">
        <is>
          <t>実戦1</t>
        </is>
      </c>
      <c r="F8" s="848" t="inlineStr">
        <is>
          <t>実戦2</t>
        </is>
      </c>
      <c r="G8" s="848" t="inlineStr">
        <is>
          <t>日本史</t>
        </is>
      </c>
    </row>
    <row r="9">
      <c r="A9" s="848" t="inlineStr">
        <is>
          <t>世界史</t>
        </is>
      </c>
      <c r="B9" s="848" t="inlineStr">
        <is>
          <t>G3WQ　学研 共通テスト 世界史</t>
        </is>
      </c>
      <c r="C9" s="848" t="n"/>
      <c r="D9" s="848" t="n"/>
      <c r="E9" s="848" t="inlineStr">
        <is>
          <t>実戦1</t>
        </is>
      </c>
      <c r="F9" s="848" t="inlineStr">
        <is>
          <t>実戦2</t>
        </is>
      </c>
      <c r="G9" s="848" t="inlineStr">
        <is>
          <t>世界史</t>
        </is>
      </c>
    </row>
    <row r="10">
      <c r="A10" s="848" t="inlineStr">
        <is>
          <t>地理</t>
        </is>
      </c>
      <c r="B10" s="848" t="inlineStr">
        <is>
          <t>G3GQ　学研 共通テスト 地理</t>
        </is>
      </c>
      <c r="C10" s="848" t="n"/>
      <c r="D10" s="848" t="n"/>
      <c r="E10" s="848" t="inlineStr">
        <is>
          <t>実戦1</t>
        </is>
      </c>
      <c r="F10" s="848" t="inlineStr">
        <is>
          <t>実戦2</t>
        </is>
      </c>
      <c r="G10" s="848" t="inlineStr">
        <is>
          <t>地理</t>
        </is>
      </c>
    </row>
    <row r="11">
      <c r="A11" s="848" t="inlineStr">
        <is>
          <t>物理</t>
        </is>
      </c>
      <c r="B11" s="848" t="inlineStr">
        <is>
          <t>G3PQ　学研 共通テスト 物理</t>
        </is>
      </c>
      <c r="C11" s="848" t="inlineStr">
        <is>
          <t>練成1・2</t>
        </is>
      </c>
      <c r="D11" s="848" t="inlineStr">
        <is>
          <t>練成3・4</t>
        </is>
      </c>
      <c r="E11" s="848" t="inlineStr">
        <is>
          <t>実戦1</t>
        </is>
      </c>
      <c r="F11" s="848" t="inlineStr">
        <is>
          <t>実戦2</t>
        </is>
      </c>
      <c r="G11" s="848" t="inlineStr">
        <is>
          <t>物理</t>
        </is>
      </c>
    </row>
    <row r="12">
      <c r="A12" s="848" t="inlineStr">
        <is>
          <t>物理</t>
        </is>
      </c>
      <c r="B12" s="848" t="inlineStr">
        <is>
          <t>G3PKQ　学研 共通テスト 物理基礎</t>
        </is>
      </c>
      <c r="C12" s="848" t="inlineStr">
        <is>
          <t>練成1</t>
        </is>
      </c>
      <c r="D12" s="848" t="n"/>
      <c r="E12" s="848" t="inlineStr">
        <is>
          <t>実戦1</t>
        </is>
      </c>
      <c r="F12" s="848" t="n"/>
      <c r="G12" s="848" t="inlineStr">
        <is>
          <t>物理基礎</t>
        </is>
      </c>
    </row>
    <row r="13">
      <c r="A13" s="848" t="inlineStr">
        <is>
          <t>化学</t>
        </is>
      </c>
      <c r="B13" s="848" t="inlineStr">
        <is>
          <t>G3CQ　学研 共通テスト 化学</t>
        </is>
      </c>
      <c r="C13" s="848" t="inlineStr">
        <is>
          <t>練成1・2</t>
        </is>
      </c>
      <c r="D13" s="848" t="inlineStr">
        <is>
          <t>練成3・4</t>
        </is>
      </c>
      <c r="E13" s="848" t="inlineStr">
        <is>
          <t>実戦1</t>
        </is>
      </c>
      <c r="F13" s="848" t="inlineStr">
        <is>
          <t>実戦2</t>
        </is>
      </c>
      <c r="G13" s="848" t="inlineStr">
        <is>
          <t>化学</t>
        </is>
      </c>
    </row>
    <row r="14">
      <c r="A14" s="848" t="inlineStr">
        <is>
          <t>化学</t>
        </is>
      </c>
      <c r="B14" s="848" t="inlineStr">
        <is>
          <t>G3CKQ　学研 共通テスト 化学基礎</t>
        </is>
      </c>
      <c r="C14" s="848" t="n"/>
      <c r="D14" s="848" t="n"/>
      <c r="E14" s="848" t="inlineStr">
        <is>
          <t>実戦1</t>
        </is>
      </c>
      <c r="F14" s="848" t="n"/>
      <c r="G14" s="848" t="inlineStr">
        <is>
          <t>化学基礎</t>
        </is>
      </c>
    </row>
    <row r="15">
      <c r="A15" s="848" t="inlineStr">
        <is>
          <t>生物</t>
        </is>
      </c>
      <c r="B15" s="848" t="inlineStr">
        <is>
          <t>G3BQ　学研 共通テスト 生物</t>
        </is>
      </c>
      <c r="C15" s="848" t="inlineStr">
        <is>
          <t>練成1</t>
        </is>
      </c>
      <c r="D15" s="848" t="inlineStr">
        <is>
          <t>練成2</t>
        </is>
      </c>
      <c r="E15" s="848" t="inlineStr">
        <is>
          <t>実戦1</t>
        </is>
      </c>
      <c r="F15" s="848" t="n"/>
      <c r="G15" s="848" t="inlineStr">
        <is>
          <t>生物</t>
        </is>
      </c>
    </row>
    <row r="16">
      <c r="A16" s="848" t="inlineStr">
        <is>
          <t>生物</t>
        </is>
      </c>
      <c r="B16" s="848" t="inlineStr">
        <is>
          <t>G3BKQ　学研 共通テスト 生物基礎</t>
        </is>
      </c>
      <c r="C16" s="848" t="inlineStr">
        <is>
          <t>練成1</t>
        </is>
      </c>
      <c r="D16" s="848" t="n"/>
      <c r="E16" s="848" t="inlineStr">
        <is>
          <t>実戦1</t>
        </is>
      </c>
      <c r="F16" s="848" t="n"/>
      <c r="G16" s="848" t="inlineStr">
        <is>
          <t>生物基礎</t>
        </is>
      </c>
    </row>
    <row r="17">
      <c r="A17" s="848" t="inlineStr">
        <is>
          <t>公共・情報</t>
        </is>
      </c>
      <c r="B17" s="848" t="inlineStr">
        <is>
          <t>3PSQ　大学入学共通テスト 公共，政治経済</t>
        </is>
      </c>
      <c r="C17" s="848" t="inlineStr">
        <is>
          <t>練成1</t>
        </is>
      </c>
      <c r="D17" s="848" t="n"/>
      <c r="E17" s="848" t="inlineStr">
        <is>
          <t>実戦1</t>
        </is>
      </c>
      <c r="F17" s="848" t="n"/>
      <c r="G17" s="848" t="inlineStr">
        <is>
          <t>公共・政経</t>
        </is>
      </c>
    </row>
    <row r="18">
      <c r="A18" s="848" t="inlineStr">
        <is>
          <t>公共・情報</t>
        </is>
      </c>
      <c r="B18" s="848" t="inlineStr">
        <is>
          <t>3PRQ　大学入学共通テスト 公共，倫理</t>
        </is>
      </c>
      <c r="C18" s="848" t="inlineStr">
        <is>
          <t>練成1</t>
        </is>
      </c>
      <c r="D18" s="848" t="n"/>
      <c r="E18" s="848" t="inlineStr">
        <is>
          <t>実戦1</t>
        </is>
      </c>
      <c r="F18" s="848" t="n"/>
      <c r="G18" s="848" t="inlineStr">
        <is>
          <t>公共・倫理</t>
        </is>
      </c>
    </row>
    <row r="19">
      <c r="A19" s="848" t="inlineStr">
        <is>
          <t>公共・情報</t>
        </is>
      </c>
      <c r="B19" s="848" t="inlineStr">
        <is>
          <t>3IQ　大学入学共通テスト 情報Ⅰ</t>
        </is>
      </c>
      <c r="C19" s="848" t="inlineStr">
        <is>
          <t>練成1</t>
        </is>
      </c>
      <c r="D19" s="848" t="n"/>
      <c r="E19" s="848" t="inlineStr">
        <is>
          <t>実戦1</t>
        </is>
      </c>
      <c r="F19" s="848" t="n"/>
      <c r="G19" s="848" t="inlineStr">
        <is>
          <t>情報Ⅰ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PLATZ</dc:creator>
  <dcterms:created xmlns:dcterms="http://purl.org/dc/terms/" xmlns:xsi="http://www.w3.org/2001/XMLSchema-instance" xsi:type="dcterms:W3CDTF">2026-10-10T02:04:57Z</dcterms:created>
  <dcterms:modified xmlns:dcterms="http://purl.org/dc/terms/" xmlns:xsi="http://www.w3.org/2001/XMLSchema-instance" xsi:type="dcterms:W3CDTF">2026-10-14T13:51:11Z</dcterms:modified>
  <cp:lastModifiedBy>PLATZ</cp:lastModifiedBy>
</cp:coreProperties>
</file>